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5" sheetId="3" r:id="rId6"/>
  </sheets>
  <definedNames/>
  <calcPr/>
</workbook>
</file>

<file path=xl/sharedStrings.xml><?xml version="1.0" encoding="utf-8"?>
<sst xmlns="http://schemas.openxmlformats.org/spreadsheetml/2006/main" count="216" uniqueCount="112">
  <si>
    <t>https://dev.azure.com/orionadvisor/OAT/_workitems/edit/255733</t>
  </si>
  <si>
    <t>Developer - Gopika</t>
  </si>
  <si>
    <t>Test Case</t>
  </si>
  <si>
    <t>Expected Result</t>
  </si>
  <si>
    <t>Actual Result</t>
  </si>
  <si>
    <t>Status</t>
  </si>
  <si>
    <t>Message</t>
  </si>
  <si>
    <t>Developer's Remark</t>
  </si>
  <si>
    <t>Reduce Buys When Selling 100% by : 0.0 (Default)</t>
  </si>
  <si>
    <t>excess cash = sell trade amount - buy trade amount - reduce buy amount</t>
  </si>
  <si>
    <t>Firm 36200 &gt; PID 3148 &gt; TLH &gt; automated &gt; Select all security &gt; Sell 100 % , 48 % &gt; Validate each security &gt; check Buy and Sell amount for individual security.</t>
  </si>
  <si>
    <t>Buy amount should be less than and nearest to sell amount.</t>
  </si>
  <si>
    <t>Working as Expected.</t>
  </si>
  <si>
    <t>PASS</t>
  </si>
  <si>
    <t>Select all securities &gt; validate all.</t>
  </si>
  <si>
    <t>Buy amount should be less than and nearest to sell amount + Excess cash amount can overBuy security to the nearest value.</t>
  </si>
  <si>
    <t>Firm 36200 &gt; PID 3148 &gt; TLH &gt; automated &gt; Select all security &gt; Sell 100 % &gt; Buy Security "ADP" is Do not buy &gt; Validate all &gt; Check Cash value Post trade amount.</t>
  </si>
  <si>
    <t xml:space="preserve">Excess cash should be spent to the lowest price security </t>
  </si>
  <si>
    <t>Firm 36200 &gt; PID 2794 &gt; TLH &gt; Automated &gt; 8 sells are 100 % , 1 sell is 24 % &gt; Select each security &gt; validate &gt; Check Sell and Buy amount , Excess Cash.</t>
  </si>
  <si>
    <t>Buy amount should be less than or nearest to sell amount and excess cash should be added to CVPT.</t>
  </si>
  <si>
    <t>Select all security &gt; Validate all at same time &gt; Check Buy and sell amount and excess cash.</t>
  </si>
  <si>
    <t>security can be overbuy with the help of excess cash.</t>
  </si>
  <si>
    <t>Reduce Buys When Selling 100% by : 10 %</t>
  </si>
  <si>
    <t>Firm 36200 &gt; PID 3148 &gt; TLH &gt; automated &gt; Select all security &gt; Selling 100 % , 48 % &gt; Validate each security &gt; check Buy and Sell amount.</t>
  </si>
  <si>
    <t>Buy amount should be less than and nearest to 90 % sell amount + Excess cash amount can overBuy security to the nearest value.</t>
  </si>
  <si>
    <t>Firm 36200 &gt; PID 2794 &gt; TLH &gt; Automated &gt; Select all security &gt; Validate all &gt; check CVPT &gt; Select Sell security "MDT" Selling $ 40 &gt; Buy security is restricted &gt; Delete &gt; Again select all &gt; Validate &gt; Check CVPT reduce.</t>
  </si>
  <si>
    <t>Sell trade should be discarded if Buy security is restricted and Sell amount should not be added to CVPT.</t>
  </si>
  <si>
    <t>Firm 36200 &gt; PID 2794 &gt; TLH &gt; Select all security with 100 % sell &gt; Delete sell security with sell % other less than 100 % &gt; Validate &gt; Check sell nd Buy amount.</t>
  </si>
  <si>
    <t>Buy amount should be less than or equal to 90 % of sell amount.</t>
  </si>
  <si>
    <t>Firm 36200 &gt; PID 2794 &gt; TLH &gt; Automated &gt; Select all security &gt; Reduce Sell % from 100 % to any &gt; Validate Each security &gt; check Sell and Buy amount.</t>
  </si>
  <si>
    <t>Buy amount should be nearest to Sell amount as Sell seucrity is not selling 100 %.</t>
  </si>
  <si>
    <t>Validate all &gt; Check Sell and Buy amount and Excess cash.</t>
  </si>
  <si>
    <t>Excess cash must be spent to the lowest price Buy security to buy one share.</t>
  </si>
  <si>
    <r>
      <rPr>
        <rFont val="Arial"/>
        <b/>
        <color theme="1"/>
      </rPr>
      <t xml:space="preserve">Multiple Accounts
</t>
    </r>
    <r>
      <rPr>
        <rFont val="Arial"/>
        <color theme="1"/>
      </rPr>
      <t>Firm 36200 &gt; PID 4412 &gt; TLH &gt; automated &gt; AID 6536 &gt; Select security "DBLTX" &gt; selling 99.9 % &gt; Sell amount is $ 2845 &gt; Validate &gt; check Buy amount of Buy security "ADP".</t>
    </r>
  </si>
  <si>
    <t>Buy amount should not get reduced as Sell security is not selling 100 %.</t>
  </si>
  <si>
    <t>Firm 1100 &gt; Portfolio grid &gt; TLH opportunity &gt; Sleeved &gt; PID 45717 &gt; TLH &gt; automated &gt; Select sell security selling 100 % and less than 100 % &gt; Set Buy alt "GOOG" &gt; Validate &gt; check Buy and Sell amount.</t>
  </si>
  <si>
    <t>Buy amount should be equal to or less than 90 % of Sell amount for security selling 100%.
and Buy amount should be close to Sell amount for Sell less than 100 %.</t>
  </si>
  <si>
    <t>Reduce Buys When Selling 100% by : 99 %</t>
  </si>
  <si>
    <t>Firm 36200 &gt; PID 2794 &gt; TLH &gt; automated &gt; Select all security &gt; Sell 100 % &gt; Validate each security &gt; check Buy and Sell amount for individual security.</t>
  </si>
  <si>
    <t>Buy trade should be created for security having Sell amount more than share price of Buy security.</t>
  </si>
  <si>
    <t>Validate all &gt; check Buy and sell security.</t>
  </si>
  <si>
    <t>Reduce Buys When Selling 100% by : 100 %</t>
  </si>
  <si>
    <t>Firm 36200 &gt; PID 2794 &gt; TLH &gt; Automated &gt; Select Sell security less than 100 % &gt; Validate.</t>
  </si>
  <si>
    <t>Buy security should be validated if Buy security price is less than Sell amount.</t>
  </si>
  <si>
    <t>Firm 36200 &gt; PID 2794 &gt; TLH &gt; Automated &gt; Select each security with 100 % sell &gt; Validate.</t>
  </si>
  <si>
    <t>Error message should be generated for Buy security as Buy amount is  % of Sell amount.</t>
  </si>
  <si>
    <t>Select all &gt; Validate.</t>
  </si>
  <si>
    <t>Firm 36200 &gt; PID 2794 &gt; TLH &gt; Automated &gt; Sell security selling 100 % &gt; Change Sell % less than 100 &gt; Validate.</t>
  </si>
  <si>
    <t>Buy amount should be close Sell amount and Excess cash should be spent to lowest price security.</t>
  </si>
  <si>
    <t>Reduce Buys When Selling 100% by : 50 %</t>
  </si>
  <si>
    <t>Multiple Accounts</t>
  </si>
  <si>
    <t>Firm 36200 &gt; PID 4412 &gt; AID 3611 , 6536 &gt; TLH &gt; Automated &gt; Select all security &gt; Validate all &gt; Check Buy and Sell amount for Both accounts.</t>
  </si>
  <si>
    <t>Buy amount should be equal to or less than 50 % of Sell amount for security selling 100%.</t>
  </si>
  <si>
    <t>Sleeved ACCOUNT</t>
  </si>
  <si>
    <t>Update Sell % to less than 100 % &gt; Validate.</t>
  </si>
  <si>
    <t>Firm 1100 &gt; Portfolio grid &gt; TLH opportunity &gt; Sleeved &gt; PID 68905 &gt; TLH &gt; automated &gt; Select sell security "M" selling 100 % &gt; Set Buy alt "GOOG" &gt; Validate &gt; check Buy and Sell amount.</t>
  </si>
  <si>
    <t>Update Sell % to 97 % &gt; Now validate.</t>
  </si>
  <si>
    <t>Buy amount should be close to Sell amount as Sell security is not selling 100 %</t>
  </si>
  <si>
    <t>Sell % changed to 100 % after validation due to a pref.</t>
  </si>
  <si>
    <t>Firm 1100 &gt; PID 46028 &gt;  TLH opportunity &gt; Sleeved &gt; TLH &gt; Manual &gt; loss &gt; short and long term &gt; Select all sell security selling &gt; Set Buy alt "GOOG" &gt; Validate &gt; check Buy and Sell amount and CVPT and cash value columns for both accounts.</t>
  </si>
  <si>
    <t>Firm 22700 &gt; Sleeved PID 228, 22187 &gt; TLH &gt; Automated &gt; Select all security &gt; Set Buy alt "GOOG" for all &gt; Validate.</t>
  </si>
  <si>
    <r>
      <rPr>
        <rFont val="Arial"/>
        <color theme="1"/>
      </rPr>
      <t>Firm 1100 &gt; PID 69687 &gt; TLH &gt; automated &gt; sell security "TestEQ1.85" &gt; sell amount $ 185 &gt; selling 100 % &gt; Buy security "G" share price is $</t>
    </r>
    <r>
      <rPr>
        <rFont val="Arial"/>
        <b/>
        <color theme="1"/>
      </rPr>
      <t xml:space="preserve"> </t>
    </r>
    <r>
      <rPr>
        <rFont val="Arial"/>
        <color theme="1"/>
      </rPr>
      <t>34.76 &gt; Validate.</t>
    </r>
  </si>
  <si>
    <t>Excess cash should be add to CVPT.</t>
  </si>
  <si>
    <t>Now working fine.
Excess cash added to CVPT is $ 22.98</t>
  </si>
  <si>
    <t>Sell amount 185 &gt; reduce Buy 50 % = $ 92.5
Buy security price $ 34.76 &gt; Buy 2 shares = 69.52
Excess cash amount = 22.98 + 92.5 = $ 115.48</t>
  </si>
  <si>
    <t>Firm 36200 &gt; PID 2800 &gt; TLH &gt; Select security 058498AT3 &gt; Sell amount $ 139 &gt; Reduced sell amount $ 125.1 &gt; Select Buy security GOOG for all , price $ 131 &gt; validate all &gt; Show warning message rounding for equity &gt; Now validate only selected security &gt; Getting 500 error.</t>
  </si>
  <si>
    <t>EQUITY</t>
  </si>
  <si>
    <t>PID 3148</t>
  </si>
  <si>
    <t>Sell amount $</t>
  </si>
  <si>
    <t>Reduce by %</t>
  </si>
  <si>
    <t>Reduced Sell amunt $</t>
  </si>
  <si>
    <t>SYMBOL</t>
  </si>
  <si>
    <t>Buy security Price</t>
  </si>
  <si>
    <t>Expected Buy Shares</t>
  </si>
  <si>
    <t>Enter Updated Shares</t>
  </si>
  <si>
    <t>Expected Buy Amount $</t>
  </si>
  <si>
    <t>Reduced buy amount $</t>
  </si>
  <si>
    <t>Excess Cash</t>
  </si>
  <si>
    <t>Buy shares befor rounding $</t>
  </si>
  <si>
    <t>Excess cash spent</t>
  </si>
  <si>
    <t>ADP</t>
  </si>
  <si>
    <t>PEN</t>
  </si>
  <si>
    <t xml:space="preserve">                                                                                                                              EQUITY e                                                                                                                  MUTUAL FUNDS </t>
  </si>
  <si>
    <t>Shares</t>
  </si>
  <si>
    <t>DEVIX</t>
  </si>
  <si>
    <t>BARAX</t>
  </si>
  <si>
    <t>Over Buy Amount $</t>
  </si>
  <si>
    <t>Excess Cash Excluding %</t>
  </si>
  <si>
    <t>Cash Value</t>
  </si>
  <si>
    <t>CVPT</t>
  </si>
  <si>
    <t>PID 2794</t>
  </si>
  <si>
    <t>Sell %</t>
  </si>
  <si>
    <t>Updated Buy amount</t>
  </si>
  <si>
    <t>MDT</t>
  </si>
  <si>
    <t>SCHD</t>
  </si>
  <si>
    <t>NEE</t>
  </si>
  <si>
    <t>VZ</t>
  </si>
  <si>
    <t>CVX</t>
  </si>
  <si>
    <t>CB</t>
  </si>
  <si>
    <t>USB</t>
  </si>
  <si>
    <t>KBE</t>
  </si>
  <si>
    <t>IGSB</t>
  </si>
  <si>
    <t>SPSB</t>
  </si>
  <si>
    <t>SBUX</t>
  </si>
  <si>
    <t>MO</t>
  </si>
  <si>
    <t>XLP</t>
  </si>
  <si>
    <t>CBRE</t>
  </si>
  <si>
    <t>XLRE</t>
  </si>
  <si>
    <t>total buy</t>
  </si>
  <si>
    <t>Total Sell + Cash value =</t>
  </si>
  <si>
    <t xml:space="preserve">Total Buy + CVPT = </t>
  </si>
  <si>
    <t xml:space="preserve">Bug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</si>
</sst>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5.0"/>
      <color rgb="FF0000FF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b/>
      <sz val="9.0"/>
      <color rgb="FF7E3794"/>
      <name val="&quot;Google Sans Mono&quot;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3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vertical="center"/>
    </xf>
    <xf borderId="0" fillId="8" fontId="5" numFmtId="0" xfId="0" applyAlignment="1" applyFill="1" applyFont="1">
      <alignment horizontal="center" vertical="center"/>
    </xf>
    <xf borderId="0" fillId="8" fontId="5" numFmtId="0" xfId="0" applyAlignment="1" applyFont="1">
      <alignment horizontal="center" readingOrder="0" vertical="center"/>
    </xf>
    <xf borderId="0" fillId="8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9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10" fontId="3" numFmtId="0" xfId="0" applyAlignment="1" applyFill="1" applyFont="1">
      <alignment horizontal="center" vertical="center"/>
    </xf>
    <xf borderId="0" fillId="1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11" fontId="3" numFmtId="0" xfId="0" applyAlignment="1" applyFill="1" applyFont="1">
      <alignment horizontal="center" readingOrder="0" vertical="center"/>
    </xf>
    <xf borderId="0" fillId="6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573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0"/>
    <col customWidth="1" min="2" max="2" width="42.25"/>
    <col customWidth="1" min="3" max="3" width="34.0"/>
    <col customWidth="1" min="5" max="5" width="33.13"/>
    <col customWidth="1" min="6" max="6" width="38.88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 t="s">
        <v>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10</v>
      </c>
      <c r="B5" s="7" t="s">
        <v>11</v>
      </c>
      <c r="C5" s="7" t="s">
        <v>12</v>
      </c>
      <c r="D5" s="7" t="s">
        <v>13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14</v>
      </c>
      <c r="B7" s="7" t="s">
        <v>15</v>
      </c>
      <c r="C7" s="7" t="s">
        <v>12</v>
      </c>
      <c r="D7" s="7" t="s">
        <v>13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16</v>
      </c>
      <c r="B9" s="7" t="s">
        <v>17</v>
      </c>
      <c r="C9" s="7" t="s">
        <v>12</v>
      </c>
      <c r="D9" s="7" t="s">
        <v>13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18</v>
      </c>
      <c r="B12" s="7" t="s">
        <v>19</v>
      </c>
      <c r="C12" s="7" t="s">
        <v>12</v>
      </c>
      <c r="D12" s="7" t="s">
        <v>13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20</v>
      </c>
      <c r="B13" s="7" t="s">
        <v>21</v>
      </c>
      <c r="C13" s="7" t="s">
        <v>12</v>
      </c>
      <c r="D13" s="7" t="s">
        <v>13</v>
      </c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22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23</v>
      </c>
      <c r="B17" s="7" t="s">
        <v>24</v>
      </c>
      <c r="C17" s="7" t="s">
        <v>12</v>
      </c>
      <c r="D17" s="7" t="s">
        <v>13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25</v>
      </c>
      <c r="B19" s="7" t="s">
        <v>26</v>
      </c>
      <c r="C19" s="7" t="s">
        <v>12</v>
      </c>
      <c r="D19" s="7" t="s">
        <v>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27</v>
      </c>
      <c r="B21" s="7" t="s">
        <v>28</v>
      </c>
      <c r="C21" s="7" t="s">
        <v>12</v>
      </c>
      <c r="D21" s="7" t="s">
        <v>13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7.75" customHeight="1">
      <c r="A23" s="7" t="s">
        <v>29</v>
      </c>
      <c r="B23" s="7" t="s">
        <v>30</v>
      </c>
      <c r="C23" s="7" t="s">
        <v>12</v>
      </c>
      <c r="D23" s="7" t="s">
        <v>13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31</v>
      </c>
      <c r="B24" s="7" t="s">
        <v>32</v>
      </c>
      <c r="C24" s="7" t="s">
        <v>12</v>
      </c>
      <c r="D24" s="7" t="s">
        <v>13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33</v>
      </c>
      <c r="B26" s="7" t="s">
        <v>34</v>
      </c>
      <c r="C26" s="7" t="s">
        <v>12</v>
      </c>
      <c r="D26" s="7" t="s">
        <v>13</v>
      </c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35</v>
      </c>
      <c r="B28" s="8" t="s">
        <v>36</v>
      </c>
      <c r="C28" s="7" t="s">
        <v>12</v>
      </c>
      <c r="D28" s="7" t="s">
        <v>13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37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38</v>
      </c>
      <c r="B32" s="7" t="s">
        <v>39</v>
      </c>
      <c r="C32" s="7" t="s">
        <v>12</v>
      </c>
      <c r="D32" s="7" t="s">
        <v>13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40</v>
      </c>
      <c r="B33" s="7"/>
      <c r="C33" s="7" t="s">
        <v>12</v>
      </c>
      <c r="D33" s="7" t="s">
        <v>13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 t="s">
        <v>41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42</v>
      </c>
      <c r="B36" s="7" t="s">
        <v>43</v>
      </c>
      <c r="C36" s="7" t="s">
        <v>12</v>
      </c>
      <c r="D36" s="7" t="s">
        <v>13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44</v>
      </c>
      <c r="B38" s="7" t="s">
        <v>45</v>
      </c>
      <c r="C38" s="7" t="s">
        <v>12</v>
      </c>
      <c r="D38" s="7" t="s">
        <v>13</v>
      </c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46</v>
      </c>
      <c r="B39" s="7" t="s">
        <v>45</v>
      </c>
      <c r="C39" s="7" t="s">
        <v>12</v>
      </c>
      <c r="D39" s="7" t="s">
        <v>13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 t="s">
        <v>47</v>
      </c>
      <c r="B41" s="7" t="s">
        <v>48</v>
      </c>
      <c r="C41" s="7" t="s">
        <v>12</v>
      </c>
      <c r="D41" s="7" t="s">
        <v>13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 t="s">
        <v>49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9" t="s">
        <v>50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51</v>
      </c>
      <c r="B45" s="8" t="s">
        <v>52</v>
      </c>
      <c r="C45" s="7" t="s">
        <v>12</v>
      </c>
      <c r="D45" s="7" t="s">
        <v>13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9" t="s">
        <v>53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54</v>
      </c>
      <c r="B48" s="8" t="s">
        <v>52</v>
      </c>
      <c r="C48" s="7" t="s">
        <v>12</v>
      </c>
      <c r="D48" s="7" t="s">
        <v>13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55</v>
      </c>
      <c r="B50" s="8" t="s">
        <v>52</v>
      </c>
      <c r="C50" s="7" t="s">
        <v>12</v>
      </c>
      <c r="D50" s="7" t="s">
        <v>13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56</v>
      </c>
      <c r="B51" s="7" t="s">
        <v>57</v>
      </c>
      <c r="C51" s="7" t="s">
        <v>12</v>
      </c>
      <c r="D51" s="7" t="s">
        <v>13</v>
      </c>
      <c r="E51" s="10" t="s">
        <v>58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59</v>
      </c>
      <c r="B53" s="8" t="s">
        <v>52</v>
      </c>
      <c r="C53" s="7" t="s">
        <v>12</v>
      </c>
      <c r="D53" s="7" t="s">
        <v>13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 t="s">
        <v>60</v>
      </c>
      <c r="B55" s="8" t="s">
        <v>52</v>
      </c>
      <c r="C55" s="7" t="s">
        <v>12</v>
      </c>
      <c r="D55" s="7" t="s">
        <v>13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 t="s">
        <v>61</v>
      </c>
      <c r="B57" s="7" t="s">
        <v>62</v>
      </c>
      <c r="C57" s="7" t="s">
        <v>63</v>
      </c>
      <c r="D57" s="7" t="s">
        <v>13</v>
      </c>
      <c r="E57" s="7" t="s">
        <v>64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65</v>
      </c>
      <c r="B59" s="6"/>
      <c r="C59" s="7" t="s">
        <v>12</v>
      </c>
      <c r="D59" s="7" t="s">
        <v>13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</sheetData>
  <mergeCells count="2">
    <mergeCell ref="A1:B1"/>
    <mergeCell ref="B4:C4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6" max="6" width="15.5"/>
    <col customWidth="1" min="7" max="7" width="19.25"/>
    <col customWidth="1" min="8" max="9" width="20.13"/>
    <col customWidth="1" min="10" max="10" width="24.38"/>
    <col customWidth="1" min="12" max="12" width="18.13"/>
    <col customWidth="1" min="13" max="13" width="23.75"/>
    <col customWidth="1" min="14" max="14" width="22.13"/>
    <col customWidth="1" min="16" max="16" width="16.25"/>
  </cols>
  <sheetData>
    <row r="1">
      <c r="A1" s="11"/>
      <c r="B1" s="12" t="s">
        <v>66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67</v>
      </c>
      <c r="B2" s="12" t="s">
        <v>68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  <c r="K2" s="12" t="s">
        <v>77</v>
      </c>
      <c r="L2" s="11"/>
      <c r="M2" s="12" t="s">
        <v>78</v>
      </c>
      <c r="N2" s="11"/>
      <c r="O2" s="11"/>
      <c r="P2" s="12" t="s">
        <v>79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B4" s="13">
        <v>6735.19</v>
      </c>
      <c r="C4" s="14">
        <v>10.0</v>
      </c>
      <c r="D4" s="11">
        <f>B4-B4*C4/100</f>
        <v>6061.671</v>
      </c>
      <c r="E4" s="15" t="s">
        <v>80</v>
      </c>
      <c r="F4" s="15">
        <v>300.0</v>
      </c>
      <c r="G4" s="11">
        <f>ROUNDDOWN(M4,0)</f>
        <v>20</v>
      </c>
      <c r="H4" s="16">
        <v>20.0</v>
      </c>
      <c r="I4" s="11">
        <f>F4*G4</f>
        <v>6000</v>
      </c>
      <c r="J4" s="11">
        <f>B4-D4</f>
        <v>673.519</v>
      </c>
      <c r="K4" s="11">
        <f>D4-I4</f>
        <v>61.671</v>
      </c>
      <c r="L4" s="11"/>
      <c r="M4" s="11">
        <f>D4/F4</f>
        <v>20.20557</v>
      </c>
      <c r="N4" s="11"/>
      <c r="O4" s="11"/>
      <c r="P4" s="11">
        <f>(H4-G4)*F4</f>
        <v>0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B5" s="12"/>
      <c r="C5" s="12"/>
      <c r="D5" s="11"/>
      <c r="E5" s="12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B6" s="13">
        <v>8237.94</v>
      </c>
      <c r="C6" s="14">
        <v>10.0</v>
      </c>
      <c r="D6" s="11">
        <f>B6-B6*C6/100</f>
        <v>7414.146</v>
      </c>
      <c r="E6" s="15" t="s">
        <v>80</v>
      </c>
      <c r="F6" s="15">
        <v>300.0</v>
      </c>
      <c r="G6" s="11">
        <f>ROUNDDOWN(M6,0)</f>
        <v>24</v>
      </c>
      <c r="H6" s="16">
        <v>24.0</v>
      </c>
      <c r="I6" s="11">
        <f>F6*G6</f>
        <v>7200</v>
      </c>
      <c r="J6" s="11">
        <f>B6-D6</f>
        <v>823.794</v>
      </c>
      <c r="K6" s="11">
        <f>D6-I6</f>
        <v>214.146</v>
      </c>
      <c r="L6" s="11"/>
      <c r="M6" s="11">
        <f>D6/F6</f>
        <v>24.71382</v>
      </c>
      <c r="N6" s="11"/>
      <c r="O6" s="11"/>
      <c r="P6" s="11">
        <f>(H6-G6)*F6</f>
        <v>0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B7" s="12"/>
      <c r="C7" s="12"/>
      <c r="D7" s="11"/>
      <c r="E7" s="12"/>
      <c r="F7" s="1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B8" s="13">
        <v>4939.4</v>
      </c>
      <c r="C8" s="14">
        <v>0.0</v>
      </c>
      <c r="D8" s="11">
        <f>B8-B8*C8/100</f>
        <v>4939.4</v>
      </c>
      <c r="E8" s="15" t="s">
        <v>81</v>
      </c>
      <c r="F8" s="15">
        <v>250.0</v>
      </c>
      <c r="G8" s="12">
        <v>19.0</v>
      </c>
      <c r="H8" s="16">
        <v>20.0</v>
      </c>
      <c r="I8" s="11">
        <f>F8*G8</f>
        <v>4750</v>
      </c>
      <c r="J8" s="11">
        <f>B8-D8</f>
        <v>0</v>
      </c>
      <c r="K8" s="11">
        <f>D8-I8</f>
        <v>189.4</v>
      </c>
      <c r="L8" s="11"/>
      <c r="M8" s="11">
        <f>D8/F8</f>
        <v>19.7576</v>
      </c>
      <c r="N8" s="11"/>
      <c r="O8" s="11"/>
      <c r="P8" s="11">
        <f>(H8-G8)*F8</f>
        <v>250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B9" s="12"/>
      <c r="C9" s="12"/>
      <c r="D9" s="11"/>
      <c r="E9" s="12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B10" s="12"/>
      <c r="C10" s="12"/>
      <c r="D10" s="11"/>
      <c r="E10" s="12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B13" s="12" t="s">
        <v>82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B14" s="12" t="s">
        <v>68</v>
      </c>
      <c r="C14" s="12" t="s">
        <v>69</v>
      </c>
      <c r="D14" s="12" t="s">
        <v>70</v>
      </c>
      <c r="E14" s="12" t="s">
        <v>71</v>
      </c>
      <c r="F14" s="12" t="s">
        <v>72</v>
      </c>
      <c r="G14" s="12" t="s">
        <v>73</v>
      </c>
      <c r="H14" s="12"/>
      <c r="I14" s="12" t="s">
        <v>75</v>
      </c>
      <c r="J14" s="12" t="s">
        <v>76</v>
      </c>
      <c r="K14" s="12" t="s">
        <v>77</v>
      </c>
      <c r="L14" s="11"/>
      <c r="M14" s="12" t="s">
        <v>83</v>
      </c>
      <c r="N14" s="12" t="s">
        <v>75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B15" s="12"/>
      <c r="C15" s="12"/>
      <c r="D15" s="11"/>
      <c r="E15" s="12"/>
      <c r="F15" s="12"/>
      <c r="G15" s="1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B16" s="13">
        <v>6341.03</v>
      </c>
      <c r="C16" s="14">
        <v>10.0</v>
      </c>
      <c r="D16" s="11">
        <f>B16-B16*C16/100</f>
        <v>5706.927</v>
      </c>
      <c r="E16" s="15" t="s">
        <v>84</v>
      </c>
      <c r="F16" s="15">
        <v>500.0</v>
      </c>
      <c r="G16" s="18">
        <f>M16</f>
        <v>11.413854</v>
      </c>
      <c r="H16" s="19">
        <v>11.413854</v>
      </c>
      <c r="I16" s="11">
        <f>F16*G16</f>
        <v>5706.927</v>
      </c>
      <c r="J16" s="11">
        <f>B16-D16</f>
        <v>634.103</v>
      </c>
      <c r="K16" s="11">
        <f>D16-I16</f>
        <v>0</v>
      </c>
      <c r="L16" s="11"/>
      <c r="M16" s="11">
        <f>D16/F16</f>
        <v>11.413854</v>
      </c>
      <c r="N16" s="11">
        <f>F16*M16</f>
        <v>5706.927</v>
      </c>
      <c r="O16" s="11"/>
      <c r="P16" s="11">
        <f>(H16-G16)*F16</f>
        <v>0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B17" s="12"/>
      <c r="C17" s="12"/>
      <c r="D17" s="11"/>
      <c r="E17" s="12"/>
      <c r="F17" s="12"/>
      <c r="G17" s="2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B18" s="13">
        <v>7393.28</v>
      </c>
      <c r="C18" s="14">
        <v>10.0</v>
      </c>
      <c r="D18" s="11">
        <f>B18-B18*C18/100</f>
        <v>6653.952</v>
      </c>
      <c r="E18" s="15" t="s">
        <v>85</v>
      </c>
      <c r="F18" s="15">
        <v>500.0</v>
      </c>
      <c r="G18" s="18">
        <f>M18</f>
        <v>13.307904</v>
      </c>
      <c r="H18" s="19">
        <v>13.307904</v>
      </c>
      <c r="I18" s="11">
        <f>F18*G18</f>
        <v>6653.952</v>
      </c>
      <c r="J18" s="11">
        <f>B18-D18</f>
        <v>739.328</v>
      </c>
      <c r="K18" s="11">
        <f>D18-I18</f>
        <v>0</v>
      </c>
      <c r="L18" s="11"/>
      <c r="M18" s="11">
        <f>D18/F18</f>
        <v>13.307904</v>
      </c>
      <c r="N18" s="11">
        <f>F18*M18</f>
        <v>6653.952</v>
      </c>
      <c r="O18" s="11"/>
      <c r="P18" s="11">
        <f>(H18-G18)*F18</f>
        <v>0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21"/>
      <c r="L21" s="12" t="s">
        <v>86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45.0" customHeight="1">
      <c r="B22" s="11"/>
      <c r="C22" s="11"/>
      <c r="D22" s="11"/>
      <c r="E22" s="11"/>
      <c r="F22" s="11"/>
      <c r="G22" s="11"/>
      <c r="H22" s="11"/>
      <c r="I22" s="11"/>
      <c r="J22" s="5" t="s">
        <v>87</v>
      </c>
      <c r="K22" s="11">
        <f>SUM(K4:K21)</f>
        <v>465.217</v>
      </c>
      <c r="L22" s="22">
        <f>P22</f>
        <v>250</v>
      </c>
      <c r="M22" s="23"/>
      <c r="N22" s="11"/>
      <c r="O22" s="11"/>
      <c r="P22" s="11">
        <f>SUM(P4:P21)</f>
        <v>250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21"/>
      <c r="I29" s="21"/>
      <c r="J29" s="2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4"/>
      <c r="B30" s="24"/>
      <c r="C30" s="24"/>
      <c r="D30" s="25" t="s">
        <v>88</v>
      </c>
      <c r="E30" s="16">
        <v>7753.2</v>
      </c>
      <c r="F30" s="24"/>
      <c r="G30" s="24"/>
      <c r="H30" s="25"/>
      <c r="I30" s="25" t="s">
        <v>77</v>
      </c>
      <c r="J30" s="24">
        <f>J4+J6+J8+J16+J18</f>
        <v>2870.744</v>
      </c>
      <c r="K30" s="24"/>
      <c r="L30" s="24"/>
      <c r="M30" s="25" t="s">
        <v>89</v>
      </c>
      <c r="N30" s="24">
        <f>J30+E30+K22-L22</f>
        <v>10839.161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3">
    <mergeCell ref="B1:M1"/>
    <mergeCell ref="A2:A22"/>
    <mergeCell ref="B13:O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5" max="5" width="9.75"/>
    <col customWidth="1" min="6" max="6" width="18.88"/>
    <col customWidth="1" min="8" max="8" width="15.5"/>
    <col customWidth="1" min="9" max="9" width="12.13"/>
    <col customWidth="1" min="10" max="10" width="13.88"/>
    <col customWidth="1" min="11" max="11" width="16.88"/>
    <col customWidth="1" min="12" max="12" width="24.38"/>
    <col customWidth="1" min="14" max="14" width="18.13"/>
    <col customWidth="1" min="15" max="15" width="23.75"/>
    <col customWidth="1" min="16" max="16" width="22.13"/>
    <col customWidth="1" min="18" max="18" width="16.25"/>
  </cols>
  <sheetData>
    <row r="1">
      <c r="A1" s="11"/>
      <c r="B1" s="11"/>
      <c r="C1" s="11"/>
      <c r="D1" s="12" t="s">
        <v>66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2" t="s">
        <v>90</v>
      </c>
      <c r="C2" s="26" t="s">
        <v>91</v>
      </c>
      <c r="D2" s="12" t="s">
        <v>68</v>
      </c>
      <c r="E2" s="12" t="s">
        <v>69</v>
      </c>
      <c r="F2" s="12" t="s">
        <v>70</v>
      </c>
      <c r="G2" s="12" t="s">
        <v>71</v>
      </c>
      <c r="H2" s="12" t="s">
        <v>72</v>
      </c>
      <c r="I2" s="12" t="s">
        <v>73</v>
      </c>
      <c r="J2" s="12" t="s">
        <v>74</v>
      </c>
      <c r="K2" s="12" t="s">
        <v>75</v>
      </c>
      <c r="L2" s="12" t="s">
        <v>76</v>
      </c>
      <c r="M2" s="12" t="s">
        <v>77</v>
      </c>
      <c r="N2" s="11"/>
      <c r="O2" s="12" t="s">
        <v>78</v>
      </c>
      <c r="P2" s="11"/>
      <c r="Q2" s="12" t="s">
        <v>92</v>
      </c>
      <c r="R2" s="12" t="s">
        <v>79</v>
      </c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2"/>
      <c r="B3" s="12"/>
      <c r="C3" s="12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2" t="s">
        <v>93</v>
      </c>
      <c r="B4" s="27">
        <v>787.86</v>
      </c>
      <c r="C4" s="12">
        <v>100.0</v>
      </c>
      <c r="D4" s="13">
        <f t="shared" ref="D4:D13" si="1">B4*C4/100</f>
        <v>787.86</v>
      </c>
      <c r="E4" s="14">
        <v>50.0</v>
      </c>
      <c r="F4" s="11">
        <f t="shared" ref="F4:F13" si="2">D4-D4*E4/100</f>
        <v>393.93</v>
      </c>
      <c r="G4" s="15" t="s">
        <v>94</v>
      </c>
      <c r="H4" s="15">
        <v>133.32</v>
      </c>
      <c r="I4" s="11">
        <f t="shared" ref="I4:I9" si="3">O4</f>
        <v>2.954770477</v>
      </c>
      <c r="J4" s="28">
        <v>2.954770477047705</v>
      </c>
      <c r="K4" s="11">
        <f t="shared" ref="K4:K13" si="4">H4*I4</f>
        <v>393.93</v>
      </c>
      <c r="L4" s="11">
        <f t="shared" ref="L4:L13" si="5">D4-F4</f>
        <v>393.93</v>
      </c>
      <c r="M4" s="11">
        <f t="shared" ref="M4:M13" si="6">F4-K4</f>
        <v>0</v>
      </c>
      <c r="N4" s="11"/>
      <c r="O4" s="11">
        <f t="shared" ref="O4:O13" si="7">F4/H4</f>
        <v>2.954770477</v>
      </c>
      <c r="P4" s="11"/>
      <c r="Q4" s="11">
        <f t="shared" ref="Q4:Q13" si="8">R4+K4</f>
        <v>393.93</v>
      </c>
      <c r="R4" s="11">
        <f t="shared" ref="R4:R13" si="9">(J4-I4)*H4</f>
        <v>0</v>
      </c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95</v>
      </c>
      <c r="B5" s="27">
        <v>1648.0</v>
      </c>
      <c r="C5" s="12">
        <v>100.0</v>
      </c>
      <c r="D5" s="13">
        <f t="shared" si="1"/>
        <v>1648</v>
      </c>
      <c r="E5" s="14">
        <v>50.0</v>
      </c>
      <c r="F5" s="11">
        <f t="shared" si="2"/>
        <v>824</v>
      </c>
      <c r="G5" s="15" t="s">
        <v>94</v>
      </c>
      <c r="H5" s="15">
        <v>133.32</v>
      </c>
      <c r="I5" s="11">
        <f t="shared" si="3"/>
        <v>6.180618062</v>
      </c>
      <c r="J5" s="28">
        <v>6.180618061806181</v>
      </c>
      <c r="K5" s="11">
        <f t="shared" si="4"/>
        <v>824</v>
      </c>
      <c r="L5" s="11">
        <f t="shared" si="5"/>
        <v>824</v>
      </c>
      <c r="M5" s="11">
        <f t="shared" si="6"/>
        <v>0</v>
      </c>
      <c r="N5" s="11"/>
      <c r="O5" s="11">
        <f t="shared" si="7"/>
        <v>6.180618062</v>
      </c>
      <c r="P5" s="11"/>
      <c r="Q5" s="11">
        <f t="shared" si="8"/>
        <v>824</v>
      </c>
      <c r="R5" s="11">
        <f t="shared" si="9"/>
        <v>0</v>
      </c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2" t="s">
        <v>96</v>
      </c>
      <c r="B6" s="27">
        <v>818.1</v>
      </c>
      <c r="C6" s="12">
        <v>100.0</v>
      </c>
      <c r="D6" s="13">
        <f t="shared" si="1"/>
        <v>818.1</v>
      </c>
      <c r="E6" s="14">
        <v>50.0</v>
      </c>
      <c r="F6" s="11">
        <f t="shared" si="2"/>
        <v>409.05</v>
      </c>
      <c r="G6" s="15" t="s">
        <v>94</v>
      </c>
      <c r="H6" s="15">
        <v>133.32</v>
      </c>
      <c r="I6" s="11">
        <f t="shared" si="3"/>
        <v>3.068181818</v>
      </c>
      <c r="J6" s="28">
        <v>3.0681818181818183</v>
      </c>
      <c r="K6" s="11">
        <f t="shared" si="4"/>
        <v>409.05</v>
      </c>
      <c r="L6" s="11">
        <f t="shared" si="5"/>
        <v>409.05</v>
      </c>
      <c r="M6" s="11">
        <f t="shared" si="6"/>
        <v>0</v>
      </c>
      <c r="N6" s="11"/>
      <c r="O6" s="11">
        <f t="shared" si="7"/>
        <v>3.068181818</v>
      </c>
      <c r="P6" s="11"/>
      <c r="Q6" s="11">
        <f t="shared" si="8"/>
        <v>409.05</v>
      </c>
      <c r="R6" s="11">
        <f t="shared" si="9"/>
        <v>0</v>
      </c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2" t="s">
        <v>97</v>
      </c>
      <c r="B7" s="27">
        <v>423.1</v>
      </c>
      <c r="C7" s="12">
        <v>100.0</v>
      </c>
      <c r="D7" s="13">
        <f t="shared" si="1"/>
        <v>423.1</v>
      </c>
      <c r="E7" s="14">
        <v>50.0</v>
      </c>
      <c r="F7" s="11">
        <f t="shared" si="2"/>
        <v>211.55</v>
      </c>
      <c r="G7" s="15" t="s">
        <v>94</v>
      </c>
      <c r="H7" s="15">
        <v>133.32</v>
      </c>
      <c r="I7" s="11">
        <f t="shared" si="3"/>
        <v>1.586783678</v>
      </c>
      <c r="J7" s="28">
        <v>1.5867836783678368</v>
      </c>
      <c r="K7" s="11">
        <f t="shared" si="4"/>
        <v>211.55</v>
      </c>
      <c r="L7" s="11">
        <f t="shared" si="5"/>
        <v>211.55</v>
      </c>
      <c r="M7" s="11">
        <f t="shared" si="6"/>
        <v>0</v>
      </c>
      <c r="N7" s="11"/>
      <c r="O7" s="11">
        <f t="shared" si="7"/>
        <v>1.586783678</v>
      </c>
      <c r="P7" s="11"/>
      <c r="Q7" s="11">
        <f t="shared" si="8"/>
        <v>211.55</v>
      </c>
      <c r="R7" s="11">
        <f t="shared" si="9"/>
        <v>0</v>
      </c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2" t="s">
        <v>98</v>
      </c>
      <c r="B8" s="27">
        <v>597.38</v>
      </c>
      <c r="C8" s="12">
        <v>100.0</v>
      </c>
      <c r="D8" s="13">
        <f t="shared" si="1"/>
        <v>597.38</v>
      </c>
      <c r="E8" s="14">
        <v>50.0</v>
      </c>
      <c r="F8" s="11">
        <f t="shared" si="2"/>
        <v>298.69</v>
      </c>
      <c r="G8" s="15" t="s">
        <v>94</v>
      </c>
      <c r="H8" s="15">
        <v>133.32</v>
      </c>
      <c r="I8" s="11">
        <f t="shared" si="3"/>
        <v>2.24039904</v>
      </c>
      <c r="J8" s="28">
        <v>2.2403990399039904</v>
      </c>
      <c r="K8" s="11">
        <f t="shared" si="4"/>
        <v>298.69</v>
      </c>
      <c r="L8" s="11">
        <f t="shared" si="5"/>
        <v>298.69</v>
      </c>
      <c r="M8" s="11">
        <f t="shared" si="6"/>
        <v>0</v>
      </c>
      <c r="N8" s="11"/>
      <c r="O8" s="11">
        <f t="shared" si="7"/>
        <v>2.24039904</v>
      </c>
      <c r="P8" s="11"/>
      <c r="Q8" s="11">
        <f t="shared" si="8"/>
        <v>298.69</v>
      </c>
      <c r="R8" s="11">
        <f t="shared" si="9"/>
        <v>0</v>
      </c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2" t="s">
        <v>99</v>
      </c>
      <c r="B9" s="27">
        <v>289.56</v>
      </c>
      <c r="C9" s="12">
        <v>100.0</v>
      </c>
      <c r="D9" s="13">
        <f t="shared" si="1"/>
        <v>289.56</v>
      </c>
      <c r="E9" s="14">
        <v>0.0</v>
      </c>
      <c r="F9" s="11">
        <f t="shared" si="2"/>
        <v>289.56</v>
      </c>
      <c r="G9" s="15" t="s">
        <v>100</v>
      </c>
      <c r="H9" s="15">
        <v>133.32</v>
      </c>
      <c r="I9" s="11">
        <f t="shared" si="3"/>
        <v>2.171917192</v>
      </c>
      <c r="J9" s="28">
        <v>2.171917191719172</v>
      </c>
      <c r="K9" s="11">
        <f t="shared" si="4"/>
        <v>289.56</v>
      </c>
      <c r="L9" s="11">
        <f t="shared" si="5"/>
        <v>0</v>
      </c>
      <c r="M9" s="11">
        <f t="shared" si="6"/>
        <v>0</v>
      </c>
      <c r="N9" s="11"/>
      <c r="O9" s="11">
        <f t="shared" si="7"/>
        <v>2.171917192</v>
      </c>
      <c r="P9" s="11"/>
      <c r="Q9" s="11">
        <f t="shared" si="8"/>
        <v>289.56</v>
      </c>
      <c r="R9" s="11">
        <f t="shared" si="9"/>
        <v>0</v>
      </c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2" t="s">
        <v>101</v>
      </c>
      <c r="B10" s="27">
        <v>0.0</v>
      </c>
      <c r="C10" s="12">
        <v>100.0</v>
      </c>
      <c r="D10" s="13">
        <f t="shared" si="1"/>
        <v>0</v>
      </c>
      <c r="E10" s="14">
        <v>0.0</v>
      </c>
      <c r="F10" s="11">
        <f t="shared" si="2"/>
        <v>0</v>
      </c>
      <c r="G10" s="15" t="s">
        <v>102</v>
      </c>
      <c r="H10" s="15">
        <v>0.1</v>
      </c>
      <c r="I10" s="11">
        <f t="shared" ref="I10:I13" si="10">ROUNDDOWN(O10,0)</f>
        <v>0</v>
      </c>
      <c r="J10" s="16">
        <v>0.0</v>
      </c>
      <c r="K10" s="11">
        <f t="shared" si="4"/>
        <v>0</v>
      </c>
      <c r="L10" s="11">
        <f t="shared" si="5"/>
        <v>0</v>
      </c>
      <c r="M10" s="11">
        <f t="shared" si="6"/>
        <v>0</v>
      </c>
      <c r="N10" s="11"/>
      <c r="O10" s="11">
        <f t="shared" si="7"/>
        <v>0</v>
      </c>
      <c r="P10" s="11"/>
      <c r="Q10" s="11">
        <f t="shared" si="8"/>
        <v>0</v>
      </c>
      <c r="R10" s="11">
        <f t="shared" si="9"/>
        <v>0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2" t="s">
        <v>103</v>
      </c>
      <c r="B11" s="27">
        <v>0.0</v>
      </c>
      <c r="C11" s="12">
        <v>100.0</v>
      </c>
      <c r="D11" s="13">
        <f t="shared" si="1"/>
        <v>0</v>
      </c>
      <c r="E11" s="14">
        <v>0.0</v>
      </c>
      <c r="F11" s="11">
        <f t="shared" si="2"/>
        <v>0</v>
      </c>
      <c r="G11" s="15" t="s">
        <v>94</v>
      </c>
      <c r="H11" s="15">
        <v>0.1</v>
      </c>
      <c r="I11" s="11">
        <f t="shared" si="10"/>
        <v>0</v>
      </c>
      <c r="J11" s="16">
        <v>0.0</v>
      </c>
      <c r="K11" s="11">
        <f t="shared" si="4"/>
        <v>0</v>
      </c>
      <c r="L11" s="11">
        <f t="shared" si="5"/>
        <v>0</v>
      </c>
      <c r="M11" s="11">
        <f t="shared" si="6"/>
        <v>0</v>
      </c>
      <c r="N11" s="11"/>
      <c r="O11" s="11">
        <f t="shared" si="7"/>
        <v>0</v>
      </c>
      <c r="P11" s="11"/>
      <c r="Q11" s="11">
        <f t="shared" si="8"/>
        <v>0</v>
      </c>
      <c r="R11" s="11">
        <f t="shared" si="9"/>
        <v>0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2" t="s">
        <v>104</v>
      </c>
      <c r="B12" s="27">
        <v>0.0</v>
      </c>
      <c r="C12" s="12">
        <v>100.0</v>
      </c>
      <c r="D12" s="13">
        <f t="shared" si="1"/>
        <v>0</v>
      </c>
      <c r="E12" s="14">
        <v>0.0</v>
      </c>
      <c r="F12" s="11">
        <f t="shared" si="2"/>
        <v>0</v>
      </c>
      <c r="G12" s="15" t="s">
        <v>105</v>
      </c>
      <c r="H12" s="15">
        <v>0.1</v>
      </c>
      <c r="I12" s="11">
        <f t="shared" si="10"/>
        <v>0</v>
      </c>
      <c r="J12" s="16">
        <v>0.0</v>
      </c>
      <c r="K12" s="11">
        <f t="shared" si="4"/>
        <v>0</v>
      </c>
      <c r="L12" s="11">
        <f t="shared" si="5"/>
        <v>0</v>
      </c>
      <c r="M12" s="11">
        <f t="shared" si="6"/>
        <v>0</v>
      </c>
      <c r="N12" s="11"/>
      <c r="O12" s="11">
        <f t="shared" si="7"/>
        <v>0</v>
      </c>
      <c r="P12" s="11"/>
      <c r="Q12" s="11">
        <f t="shared" si="8"/>
        <v>0</v>
      </c>
      <c r="R12" s="11">
        <f t="shared" si="9"/>
        <v>0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2" t="s">
        <v>106</v>
      </c>
      <c r="B13" s="27">
        <v>0.0</v>
      </c>
      <c r="C13" s="12">
        <v>0.0</v>
      </c>
      <c r="D13" s="13">
        <f t="shared" si="1"/>
        <v>0</v>
      </c>
      <c r="E13" s="14">
        <v>0.0</v>
      </c>
      <c r="F13" s="11">
        <f t="shared" si="2"/>
        <v>0</v>
      </c>
      <c r="G13" s="15" t="s">
        <v>107</v>
      </c>
      <c r="H13" s="15">
        <v>0.1</v>
      </c>
      <c r="I13" s="11">
        <f t="shared" si="10"/>
        <v>0</v>
      </c>
      <c r="J13" s="16">
        <v>0.0</v>
      </c>
      <c r="K13" s="11">
        <f t="shared" si="4"/>
        <v>0</v>
      </c>
      <c r="L13" s="11">
        <f t="shared" si="5"/>
        <v>0</v>
      </c>
      <c r="M13" s="11">
        <f t="shared" si="6"/>
        <v>0</v>
      </c>
      <c r="N13" s="11"/>
      <c r="O13" s="11">
        <f t="shared" si="7"/>
        <v>0</v>
      </c>
      <c r="P13" s="11"/>
      <c r="Q13" s="11">
        <f t="shared" si="8"/>
        <v>0</v>
      </c>
      <c r="R13" s="11">
        <f t="shared" si="9"/>
        <v>0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2"/>
      <c r="B14" s="12"/>
      <c r="C14" s="12"/>
      <c r="D14" s="12"/>
      <c r="E14" s="12"/>
      <c r="F14" s="11"/>
      <c r="G14" s="12"/>
      <c r="H14" s="1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2"/>
      <c r="B15" s="12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2"/>
      <c r="B16" s="12"/>
      <c r="C16" s="12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12"/>
      <c r="B17" s="12"/>
      <c r="C17" s="12"/>
      <c r="D17" s="12" t="s">
        <v>82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2"/>
      <c r="B18" s="12"/>
      <c r="C18" s="12"/>
      <c r="D18" s="12" t="s">
        <v>68</v>
      </c>
      <c r="E18" s="12" t="s">
        <v>69</v>
      </c>
      <c r="F18" s="12" t="s">
        <v>70</v>
      </c>
      <c r="G18" s="12" t="s">
        <v>71</v>
      </c>
      <c r="H18" s="12" t="s">
        <v>72</v>
      </c>
      <c r="I18" s="12" t="s">
        <v>73</v>
      </c>
      <c r="J18" s="12"/>
      <c r="K18" s="12" t="s">
        <v>75</v>
      </c>
      <c r="L18" s="12" t="s">
        <v>76</v>
      </c>
      <c r="M18" s="12" t="s">
        <v>77</v>
      </c>
      <c r="N18" s="11"/>
      <c r="O18" s="12" t="s">
        <v>83</v>
      </c>
      <c r="P18" s="12" t="s">
        <v>75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2"/>
      <c r="B19" s="12"/>
      <c r="C19" s="12"/>
      <c r="D19" s="12"/>
      <c r="E19" s="12"/>
      <c r="F19" s="11"/>
      <c r="G19" s="12"/>
      <c r="H19" s="12"/>
      <c r="I19" s="18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2"/>
      <c r="B20" s="12"/>
      <c r="C20" s="12"/>
      <c r="D20" s="13">
        <v>0.0</v>
      </c>
      <c r="E20" s="14">
        <v>10.0</v>
      </c>
      <c r="F20" s="11">
        <f t="shared" ref="F20:F22" si="11">D20-D20*E20/100</f>
        <v>0</v>
      </c>
      <c r="G20" s="15" t="s">
        <v>84</v>
      </c>
      <c r="H20" s="15">
        <v>500.0</v>
      </c>
      <c r="I20" s="18">
        <f t="shared" ref="I20:I22" si="12">O20</f>
        <v>0</v>
      </c>
      <c r="J20" s="19">
        <v>0.0</v>
      </c>
      <c r="K20" s="11">
        <f t="shared" ref="K20:K22" si="13">H20*I20</f>
        <v>0</v>
      </c>
      <c r="L20" s="11">
        <f t="shared" ref="L20:L22" si="14">D20-F20</f>
        <v>0</v>
      </c>
      <c r="M20" s="11">
        <f t="shared" ref="M20:M22" si="15">F20-K20</f>
        <v>0</v>
      </c>
      <c r="N20" s="11"/>
      <c r="O20" s="11">
        <f t="shared" ref="O20:O22" si="16">F20/H20</f>
        <v>0</v>
      </c>
      <c r="P20" s="11">
        <f t="shared" ref="P20:P22" si="17">H20*O20</f>
        <v>0</v>
      </c>
      <c r="Q20" s="11"/>
      <c r="R20" s="11">
        <f t="shared" ref="R20:R22" si="18">(J20-I20)*H20</f>
        <v>0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2"/>
      <c r="B21" s="12"/>
      <c r="C21" s="12"/>
      <c r="D21" s="13">
        <v>0.0</v>
      </c>
      <c r="E21" s="14">
        <v>10.0</v>
      </c>
      <c r="F21" s="11">
        <f t="shared" si="11"/>
        <v>0</v>
      </c>
      <c r="G21" s="15" t="s">
        <v>84</v>
      </c>
      <c r="H21" s="15">
        <v>500.0</v>
      </c>
      <c r="I21" s="18">
        <f t="shared" si="12"/>
        <v>0</v>
      </c>
      <c r="J21" s="19">
        <v>0.0</v>
      </c>
      <c r="K21" s="11">
        <f t="shared" si="13"/>
        <v>0</v>
      </c>
      <c r="L21" s="11">
        <f t="shared" si="14"/>
        <v>0</v>
      </c>
      <c r="M21" s="11">
        <f t="shared" si="15"/>
        <v>0</v>
      </c>
      <c r="N21" s="11"/>
      <c r="O21" s="11">
        <f t="shared" si="16"/>
        <v>0</v>
      </c>
      <c r="P21" s="11">
        <f t="shared" si="17"/>
        <v>0</v>
      </c>
      <c r="Q21" s="11"/>
      <c r="R21" s="11">
        <f t="shared" si="18"/>
        <v>0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2"/>
      <c r="B22" s="12"/>
      <c r="C22" s="12"/>
      <c r="D22" s="13">
        <v>0.0</v>
      </c>
      <c r="E22" s="14">
        <v>10.0</v>
      </c>
      <c r="F22" s="11">
        <f t="shared" si="11"/>
        <v>0</v>
      </c>
      <c r="G22" s="15" t="s">
        <v>85</v>
      </c>
      <c r="H22" s="15">
        <v>500.0</v>
      </c>
      <c r="I22" s="18">
        <f t="shared" si="12"/>
        <v>0</v>
      </c>
      <c r="J22" s="19">
        <v>0.0</v>
      </c>
      <c r="K22" s="11">
        <f t="shared" si="13"/>
        <v>0</v>
      </c>
      <c r="L22" s="11">
        <f t="shared" si="14"/>
        <v>0</v>
      </c>
      <c r="M22" s="11">
        <f t="shared" si="15"/>
        <v>0</v>
      </c>
      <c r="N22" s="11"/>
      <c r="O22" s="11">
        <f t="shared" si="16"/>
        <v>0</v>
      </c>
      <c r="P22" s="11">
        <f t="shared" si="17"/>
        <v>0</v>
      </c>
      <c r="Q22" s="11"/>
      <c r="R22" s="11">
        <f t="shared" si="18"/>
        <v>0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2"/>
      <c r="B23" s="12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2"/>
      <c r="B24" s="12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2"/>
      <c r="B25" s="12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2"/>
      <c r="B26" s="12"/>
      <c r="C26" s="12"/>
      <c r="D26" s="11"/>
      <c r="E26" s="11"/>
      <c r="F26" s="11"/>
      <c r="G26" s="11"/>
      <c r="H26" s="11"/>
      <c r="I26" s="11"/>
      <c r="J26" s="11"/>
      <c r="K26" s="11"/>
      <c r="L26" s="11"/>
      <c r="N26" s="12" t="s">
        <v>86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45.0" customHeight="1">
      <c r="A27" s="12"/>
      <c r="B27" s="12"/>
      <c r="C27" s="12"/>
      <c r="D27" s="11"/>
      <c r="E27" s="11"/>
      <c r="F27" s="11"/>
      <c r="G27" s="11"/>
      <c r="H27" s="11"/>
      <c r="I27" s="11"/>
      <c r="J27" s="11"/>
      <c r="L27" s="5" t="s">
        <v>87</v>
      </c>
      <c r="M27" s="11">
        <f>SUM(M4:M26)</f>
        <v>0</v>
      </c>
      <c r="N27" s="22">
        <f>R27</f>
        <v>0</v>
      </c>
      <c r="O27" s="23"/>
      <c r="P27" s="11"/>
      <c r="Q27" s="11"/>
      <c r="R27" s="11">
        <f>SUM(R4:R26)</f>
        <v>0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21"/>
      <c r="K30" s="21"/>
      <c r="L30" s="2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24"/>
      <c r="B31" s="24"/>
      <c r="C31" s="24"/>
      <c r="D31" s="24"/>
      <c r="E31" s="24"/>
      <c r="F31" s="25" t="s">
        <v>88</v>
      </c>
      <c r="G31" s="16">
        <v>12320.5</v>
      </c>
      <c r="H31" s="24"/>
      <c r="I31" s="24"/>
      <c r="J31" s="25"/>
      <c r="K31" s="25" t="s">
        <v>77</v>
      </c>
      <c r="L31" s="24">
        <f>SUM(L4:L13)</f>
        <v>2137.22</v>
      </c>
      <c r="M31" s="24"/>
      <c r="N31" s="24"/>
      <c r="O31" s="25" t="s">
        <v>89</v>
      </c>
      <c r="P31" s="24">
        <f>L31+G31+M27-N27</f>
        <v>14457.72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 t="s">
        <v>108</v>
      </c>
      <c r="Q34" s="11">
        <f>SUM(Q4,Q5,Q6,Q7,Q8,Q9,Q10,Q11,Q12,Q13)</f>
        <v>2426.78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2" t="s">
        <v>109</v>
      </c>
      <c r="F38" s="11">
        <f>SUM(D4,D5,D6,D7,D8,D9,D10,D11,D12,D13,G31)</f>
        <v>16884.5</v>
      </c>
      <c r="G38" s="11"/>
      <c r="H38" s="11"/>
      <c r="I38" s="11"/>
      <c r="J38" s="11"/>
      <c r="K38" s="11"/>
      <c r="L38" s="11"/>
      <c r="M38" s="12" t="s">
        <v>110</v>
      </c>
      <c r="O38" s="11">
        <f>P31+Q34</f>
        <v>16884.5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2" t="s">
        <v>111</v>
      </c>
      <c r="K41" s="11">
        <f>O38-F38</f>
        <v>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</sheetData>
  <mergeCells count="4">
    <mergeCell ref="D1:O1"/>
    <mergeCell ref="D17:Q17"/>
    <mergeCell ref="D38:E38"/>
    <mergeCell ref="M38:N38"/>
  </mergeCells>
  <drawing r:id="rId1"/>
</worksheet>
</file>