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<sst xmlns="http://schemas.openxmlformats.org/spreadsheetml/2006/main" count="46" uniqueCount="35">
  <si>
    <t>https://dev.azure.com/orionadvisor/OAT/_workitems/edit/258087</t>
  </si>
  <si>
    <t>DEV : RP</t>
  </si>
  <si>
    <t>KINDLY REFER TO HIGHLIGHTED TEST CASES .</t>
  </si>
  <si>
    <t>TEST ID</t>
  </si>
  <si>
    <t>TEST SCENARIO</t>
  </si>
  <si>
    <t>EXPECTED OUTPUT</t>
  </si>
  <si>
    <t>ACTUAL OUTPUT</t>
  </si>
  <si>
    <t>TEST CASE PASS/FAIL</t>
  </si>
  <si>
    <t>STATUS</t>
  </si>
  <si>
    <t>REVIEW</t>
  </si>
  <si>
    <t xml:space="preserve">preference used :Rebalance Cash at Firm , team , account level  </t>
  </si>
  <si>
    <t>Firm 26700</t>
  </si>
  <si>
    <t>PID 2723 / AID 4002 // 4003</t>
  </si>
  <si>
    <t>4002 &gt; Account pref : 14 %  |  4003 model : 10 % , Account pref : 13 %</t>
  </si>
  <si>
    <t xml:space="preserve">max of 2 will be taken as target </t>
  </si>
  <si>
    <t>Working as Expected.</t>
  </si>
  <si>
    <t>PASS</t>
  </si>
  <si>
    <t>4003 model : 10 % , Account pref : 13 % , Team pref : 25 %</t>
  </si>
  <si>
    <t>It shopuld follow hierarchy of pref account* vs team</t>
  </si>
  <si>
    <t>PID 2723 / AID 4002 // 4003 &gt; Raise cash &gt; Distribution &gt; Sell With Full Rebalance (Portfolio)</t>
  </si>
  <si>
    <t>cash target % should be calculated accordingly to account value after cash raised.</t>
  </si>
  <si>
    <t>PID 2723 &gt; raise cash $ 1000 from account 4002 &gt; sell rebalance &gt; min trade amount is $ 3000 &gt; Account initial value is 8600 &gt; amount to raise 1000 &gt; account value updated to 7600 &gt; trade discarded due to MinTradeAmount &gt; cash target $ calculated according to account market value $ 7600.</t>
  </si>
  <si>
    <t>account value should be updated to initial managed value.</t>
  </si>
  <si>
    <t>FAIL</t>
  </si>
  <si>
    <t>Existing funcionality.</t>
  </si>
  <si>
    <t>PID 2723 / AID 4002 // 4003 &gt; Raise cash &gt; Distribution &gt; Sell With Full Rebalance (Portfolio) &gt; Set aside cash $ 800 for AID 4002</t>
  </si>
  <si>
    <t>Reserve cash, Billing $ and Set aside cash.</t>
  </si>
  <si>
    <t>ReserveUsage : MIN out of $ or % &gt; Team reserve $ 0  &gt; Account reserve 20 $.</t>
  </si>
  <si>
    <t>Min of both should appear.</t>
  </si>
  <si>
    <t>Reserve $ 20 appear in tactical tool.</t>
  </si>
  <si>
    <t>Not related to rebalancer.</t>
  </si>
  <si>
    <t>reg level rebalance on sleeve model level</t>
  </si>
  <si>
    <t>reg level rebalance on sleeve strategy level</t>
  </si>
  <si>
    <t>reg level rebalance with excluded, set aside and reserve cash PID 131</t>
  </si>
  <si>
    <t>Firm 26700 , PID 2333 &gt; Spend cash &gt; Cont.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</si>
</sst>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i/>
      <u/>
      <sz val="14.0"/>
      <color rgb="FF0000FF"/>
      <name val="&quot;Google Sans&quot;"/>
    </font>
    <font>
      <b/>
      <i/>
      <sz val="14.0"/>
      <color theme="1"/>
      <name val="&quot;Google Sans&quot;"/>
    </font>
    <font>
      <sz val="12.0"/>
      <color rgb="FF000000"/>
      <name val="Monospace"/>
    </font>
    <font>
      <b/>
      <i/>
      <sz val="13.0"/>
      <color theme="1"/>
      <name val="&quot;Google Sans&quot;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sz val="10.0"/>
      <color rgb="FF172B4D"/>
      <name val="-apple-system"/>
    </font>
    <font>
      <sz val="10.0"/>
      <color theme="1"/>
      <name val="Arial"/>
    </font>
    <font>
      <sz val="10.0"/>
      <color rgb="FF172B4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2" fontId="10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808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5"/>
    <col customWidth="1" min="3" max="3" width="30.63"/>
    <col customWidth="1" min="4" max="4" width="25.63"/>
    <col customWidth="1" min="5" max="5" width="24.88"/>
    <col customWidth="1" min="6" max="6" width="30.88"/>
    <col customWidth="1" min="7" max="7" width="22.7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Z3" s="4">
        <v>1281505.53552</v>
      </c>
      <c r="AA3" s="4" t="str">
        <f>0.9 *A7 1281505.53552</f>
        <v>#ERROR!</v>
      </c>
    </row>
    <row r="4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4" t="str">
        <f>0.9 *X8 96521.31716</f>
        <v>#ERROR!</v>
      </c>
    </row>
    <row r="5">
      <c r="A5" s="8" t="s">
        <v>10</v>
      </c>
    </row>
    <row r="6">
      <c r="A6" s="9"/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10" t="s">
        <v>13</v>
      </c>
      <c r="C8" s="10" t="s">
        <v>14</v>
      </c>
      <c r="D8" s="10" t="s">
        <v>15</v>
      </c>
      <c r="E8" s="10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10" t="s">
        <v>17</v>
      </c>
      <c r="C10" s="10" t="s">
        <v>18</v>
      </c>
      <c r="D10" s="10" t="s">
        <v>15</v>
      </c>
      <c r="E10" s="10" t="s">
        <v>16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10" t="s">
        <v>19</v>
      </c>
      <c r="C12" s="10" t="s">
        <v>20</v>
      </c>
      <c r="D12" s="10" t="s">
        <v>15</v>
      </c>
      <c r="E12" s="10" t="s">
        <v>16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10" t="s">
        <v>21</v>
      </c>
      <c r="C14" s="10" t="s">
        <v>22</v>
      </c>
      <c r="D14" s="9"/>
      <c r="E14" s="11" t="s">
        <v>23</v>
      </c>
      <c r="F14" s="12" t="s">
        <v>24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10" t="s">
        <v>25</v>
      </c>
      <c r="C16" s="10"/>
      <c r="D16" s="10"/>
      <c r="E16" s="10" t="s">
        <v>16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10" t="s">
        <v>26</v>
      </c>
      <c r="C18" s="9"/>
      <c r="D18" s="9"/>
      <c r="E18" s="10" t="s">
        <v>16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13" t="s">
        <v>27</v>
      </c>
      <c r="C19" s="10" t="s">
        <v>28</v>
      </c>
      <c r="D19" s="10" t="s">
        <v>29</v>
      </c>
      <c r="E19" s="11" t="s">
        <v>23</v>
      </c>
      <c r="F19" s="12" t="s">
        <v>30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10" t="s">
        <v>31</v>
      </c>
      <c r="C21" s="9"/>
      <c r="D21" s="9"/>
      <c r="E21" s="10" t="s">
        <v>16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14" t="s">
        <v>32</v>
      </c>
      <c r="C23" s="15"/>
      <c r="D23" s="9"/>
      <c r="E23" s="10" t="s">
        <v>16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16" t="s">
        <v>33</v>
      </c>
      <c r="C25" s="15"/>
      <c r="D25" s="9"/>
      <c r="E25" s="10" t="s">
        <v>16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10" t="s">
        <v>34</v>
      </c>
      <c r="C27" s="9"/>
      <c r="D27" s="9"/>
      <c r="E27" s="10" t="s">
        <v>16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</sheetData>
  <mergeCells count="4">
    <mergeCell ref="A1:AA1"/>
    <mergeCell ref="A2:AA2"/>
    <mergeCell ref="A3:Y3"/>
    <mergeCell ref="A5:AA5"/>
  </mergeCells>
  <hyperlinks>
    <hyperlink r:id="rId1" ref="A1"/>
  </hyperlinks>
  <drawing r:id="rId2"/>
</worksheet>
</file>