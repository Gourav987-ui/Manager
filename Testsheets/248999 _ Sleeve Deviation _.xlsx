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D% || PTN%" sheetId="2" r:id="rId5"/>
    <sheet state="visible" name="Deplicate exclude" sheetId="3" r:id="rId6"/>
    <sheet state="visible" name="Excluded account" sheetId="4" r:id="rId7"/>
    <sheet state="visible" name="Excluded security" sheetId="5" r:id="rId8"/>
    <sheet state="visible" name="Copy of Excluded security" sheetId="6" r:id="rId9"/>
  </sheets>
  <definedNames/>
  <calcPr/>
</workbook>
</file>

<file path=xl/sharedStrings.xml><?xml version="1.0" encoding="utf-8"?>
<sst xmlns="http://schemas.openxmlformats.org/spreadsheetml/2006/main" count="233" uniqueCount="109">
  <si>
    <t>https://dev.azure.com/orionadvisor/OAT/_workitems/edit/248999</t>
  </si>
  <si>
    <t>Developer - Rahul , Saurabh , Sneha</t>
  </si>
  <si>
    <t>QA - Gourav Singh</t>
  </si>
  <si>
    <t>Test case</t>
  </si>
  <si>
    <t>Expected Result</t>
  </si>
  <si>
    <t>Actual Result</t>
  </si>
  <si>
    <t>Status</t>
  </si>
  <si>
    <t>Message</t>
  </si>
  <si>
    <t>Bug Rating</t>
  </si>
  <si>
    <t>Portfolio Grid || Sleeve Deviation %</t>
  </si>
  <si>
    <t>Firm 22700 &gt; Portfolio grid &gt; PID 1228 &gt; has 4 Normal Accounts &gt; Run analytics &gt; check Sleeve Deviation % for Portfolio.</t>
  </si>
  <si>
    <t>Sleeve Deviation % should be equal to sum of Post trade need % of all normal accounts divided by 2.</t>
  </si>
  <si>
    <t>Working as Expected.</t>
  </si>
  <si>
    <t>PASS</t>
  </si>
  <si>
    <t>Post trade need % = Post % - Target % of sleeve Acc.
Post % = Acc. Market value / Portfolio worth * 100
Sleeve Deviation % = Post trade need % / 2</t>
  </si>
  <si>
    <t>Firm 22700 &gt; Portfolio grid &gt; PID 1228 &gt; has 4 Normal Accounts &gt; Run analytics &gt; Click on + Plus button &gt; check Sleeve Deviation % for Normal accounts.</t>
  </si>
  <si>
    <t>Post trade need % should appear for Normal accounts in sleeve deviation column when user click on + Plus button.</t>
  </si>
  <si>
    <r>
      <rPr>
        <rFont val="Arial"/>
        <color theme="1"/>
      </rPr>
      <t xml:space="preserve">Firm 22700 &gt; Portfolio grid &gt; PID 1228 &gt; has 4 Normal Accounts &gt; Run analytics &gt; Click on + Plus button &gt; check Sleeve Deviation % for </t>
    </r>
    <r>
      <rPr>
        <rFont val="Arial"/>
        <b/>
        <color rgb="FF1155CC"/>
      </rPr>
      <t xml:space="preserve">Custodial, Contribution and Distribution </t>
    </r>
    <r>
      <rPr>
        <rFont val="Arial"/>
        <color theme="1"/>
      </rPr>
      <t>accounts.</t>
    </r>
  </si>
  <si>
    <t>Post trade need % should be 0  for Cust. , Cont/Dist. accounts in sleeve deviation column.</t>
  </si>
  <si>
    <t>Firm 22700 &gt; Portfolio grid &gt; PID 1228 &gt; has 4 Normal Accounts , one of them is excluded &gt; Raise cash at Portfolio level &gt; Distribution &gt; Enter amount $ 60000 &gt; Run analytics for portfolio &gt; portfolio grid &gt; PID 1228 &gt; click on Plus button &gt; check sleeve deviation % for Portfolio and PTN% for Accounts.</t>
  </si>
  <si>
    <t>Sleeve deviation and PTN% value should be rounded upto 2 dighits.</t>
  </si>
  <si>
    <r>
      <rPr>
        <rFont val="Arial"/>
        <color theme="1"/>
      </rPr>
      <t xml:space="preserve">Sleeve deviation % for portfolio rounded upto 2 digits and PTN% for accounts is rounded upto 6 digits.
Sleeve deviation % for portfolio rounded upto  digits in </t>
    </r>
    <r>
      <rPr>
        <rFont val="Arial"/>
        <b/>
        <color theme="1"/>
      </rPr>
      <t>Portfolio details</t>
    </r>
  </si>
  <si>
    <t>Firm 22700 &gt; portfolio grid &gt; PID 1228 &gt; sleeve deviation % &gt; Account grid &gt; PID 1228 &gt; Post trade need %.</t>
  </si>
  <si>
    <t>Sum of Accounts Post trade need % should be equal to Sleeve Deviation % of Portfolio.</t>
  </si>
  <si>
    <r>
      <rPr>
        <rFont val="Arial"/>
        <color theme="1"/>
      </rPr>
      <t xml:space="preserve">Firm 22700&gt; PID 228 &gt; has 4 accounts , </t>
    </r>
    <r>
      <rPr>
        <rFont val="Arial"/>
        <b/>
        <color theme="1"/>
      </rPr>
      <t xml:space="preserve">one of them is excluded having 0 % target </t>
    </r>
    <r>
      <rPr>
        <rFont val="Arial"/>
        <color theme="1"/>
      </rPr>
      <t>&gt; remaining have 50 , 25 , 25 % &gt; Rebalancer &gt; Portfolio grid &gt; click on plus button &gt; check Sleeve deviation % and PTN% for Portfolio and Included accounts.</t>
    </r>
  </si>
  <si>
    <t>Sleeve Deviation % should be equal to sum of Post trade need % of all normal accounts divided by 2.
it should be X.YZ %</t>
  </si>
  <si>
    <t>PTN% of should be 0.xx % and should be negative for AID 9290, 9291. - FIXED
PTN% is showing 0 , but Sleeve deviation is null. - FIXED</t>
  </si>
  <si>
    <r>
      <rPr>
        <rFont val="Arial"/>
        <color theme="1"/>
      </rPr>
      <t xml:space="preserve">Firm 22700&gt; PID 1228 &gt; has 4 accounts , </t>
    </r>
    <r>
      <rPr>
        <rFont val="Arial"/>
        <b/>
        <color theme="1"/>
      </rPr>
      <t xml:space="preserve">three of them is excluded having 77 % target </t>
    </r>
    <r>
      <rPr>
        <rFont val="Arial"/>
        <color theme="1"/>
      </rPr>
      <t>&gt; remaining has 23 % &gt; Rebalancer &gt; Portfolio grid &gt; click on plus button &gt; check Sleeve deviation % and PTN% for Portfolio and Included accounts.</t>
    </r>
  </si>
  <si>
    <t>Post trade need % and sleeve deviation % should be 0 for Account and Portfolio.
Post trade need % for excluded accounts should be null.</t>
  </si>
  <si>
    <r>
      <rPr>
        <rFont val="Arial"/>
        <color theme="1"/>
      </rPr>
      <t>Firm 22700&gt; PID 1228 &gt; has 4 accounts , one of them is excluded having 23 % target &gt; remaining have 32, 19, 26 % &gt;</t>
    </r>
    <r>
      <rPr>
        <rFont val="Arial"/>
        <b/>
        <color theme="1"/>
      </rPr>
      <t xml:space="preserve"> </t>
    </r>
    <r>
      <rPr>
        <rFont val="Arial"/>
        <b/>
        <color rgb="FF1155CC"/>
      </rPr>
      <t>Reserve and billing cash</t>
    </r>
    <r>
      <rPr>
        <rFont val="Arial"/>
        <b/>
        <color theme="1"/>
      </rPr>
      <t xml:space="preserve"> and </t>
    </r>
    <r>
      <rPr>
        <rFont val="Arial"/>
        <b/>
        <color rgb="FF1155CC"/>
      </rPr>
      <t>Set aside cash</t>
    </r>
    <r>
      <rPr>
        <rFont val="Arial"/>
        <b/>
        <color theme="1"/>
      </rPr>
      <t xml:space="preserve"> is set on Account Id 15952</t>
    </r>
    <r>
      <rPr>
        <rFont val="Arial"/>
        <color theme="1"/>
      </rPr>
      <t xml:space="preserve"> &gt; Rebalancer &gt; Portfolio grid &gt; click on plus button &gt; check Sleeve deviation % and PTN% for Portfolio and Included accounts.</t>
    </r>
  </si>
  <si>
    <t>Sleeve deviation , PTN% and account value should remain same before and after Reserve, billing and set aside cash set on account.</t>
  </si>
  <si>
    <t>Account value , Sleeve deviation and PTN% remain same.
Working as Expected.</t>
  </si>
  <si>
    <t>Excluded security</t>
  </si>
  <si>
    <r>
      <rPr>
        <rFont val="Arial"/>
        <color theme="1"/>
      </rPr>
      <t>Firm 22700&gt; PID 1228 &gt; has 4 accounts , one of them is excluded having 23 % target &gt; remaining have 32, 19, 26 % &gt;</t>
    </r>
    <r>
      <rPr>
        <rFont val="Arial"/>
        <b/>
        <color theme="1"/>
      </rPr>
      <t xml:space="preserve"> </t>
    </r>
    <r>
      <rPr>
        <rFont val="Arial"/>
        <b/>
        <color rgb="FF1155CC"/>
      </rPr>
      <t xml:space="preserve">Exclude security in </t>
    </r>
    <r>
      <rPr>
        <rFont val="Arial"/>
        <b/>
        <color theme="1"/>
      </rPr>
      <t xml:space="preserve"> Account Id 15952</t>
    </r>
    <r>
      <rPr>
        <rFont val="Arial"/>
        <color theme="1"/>
      </rPr>
      <t xml:space="preserve"> &gt; Rebalancer &gt; Portfolio grid &gt; click on plus button &gt; check Sleeve deviation % and PTN% for Portfolio and Included accounts.</t>
    </r>
  </si>
  <si>
    <t>Excluded security holding should not be used to calculate sleeve deviation and PTN%.</t>
  </si>
  <si>
    <t>Firm 22700&gt; PID 1228 &gt; Tactical tool &gt; 0 trades &gt; Trade tool &gt; rebalance &gt; open trade log file &gt; calculated PTN% and sleeve deviation %.</t>
  </si>
  <si>
    <t>Excluded security holding and account should not be used to calculate sleeve deviation and PTN%.</t>
  </si>
  <si>
    <r>
      <rPr>
        <rFont val="Arial"/>
        <color theme="1"/>
      </rPr>
      <t xml:space="preserve">Firm 1100 &gt; PID 45878 &gt; has 3 normal accounts &gt; </t>
    </r>
    <r>
      <rPr>
        <rFont val="Arial"/>
        <b/>
        <color theme="1"/>
      </rPr>
      <t>Exclude all accounts &gt;</t>
    </r>
    <r>
      <rPr>
        <rFont val="Arial"/>
        <color theme="1"/>
      </rPr>
      <t xml:space="preserve"> portfolio grid &gt; click plus button &gt; check sleeve deviation and PTN%.</t>
    </r>
  </si>
  <si>
    <t>Sleeve deviation should be 0 and PTN% should be null.</t>
  </si>
  <si>
    <t>Firm 1100 &gt; PID 69474 &gt; has 3 accounts of target % 100 , 0 , 0 % &gt; Account ID with target 100 % is excluded &gt; Rebalancer &gt; check sleeve deviation % , PTN% and target %.</t>
  </si>
  <si>
    <t>Excluded security holding should not be used to calculate sleeve deviation and PTN%.
Target % of excluded account should be prorated into remaining accounts.</t>
  </si>
  <si>
    <t>Target % of excluded accounts not prorated to remaing accounts.</t>
  </si>
  <si>
    <t>FAIL</t>
  </si>
  <si>
    <t>not related to this card.</t>
  </si>
  <si>
    <t>Portfolio Details || Sleeve Deviation %</t>
  </si>
  <si>
    <t>Firm 22700 &gt; Portfolio grid &gt; PID 228 &gt; has 4 Normal Accounts &gt; Run analytics &gt; check Sleeve Deviation % for Portfolio &gt; Portfolio Details &gt; Check Sleeve Deviation %.</t>
  </si>
  <si>
    <t>Sleeve Deviation % should be same in Both Portfolio Grid and Portfolio Details.</t>
  </si>
  <si>
    <t>Firm 22700 &gt; Portfolio grid &gt; PID 51080 &gt; Run analytics &gt; check Sleeve Deviation % for Portfolio &gt; Portfolio Details &gt; Check Sleeve Deviation %.</t>
  </si>
  <si>
    <t>Non sleeve Accounts (_Single_multiple_)</t>
  </si>
  <si>
    <t>Firm 22700 &gt; Portfolio grid &gt; PID Single account &gt; Run analytics &gt; check Sleeve Deviation % for Portfolio.</t>
  </si>
  <si>
    <t>Sleeve deviation % should be null for Non Sleeve Portfolio.</t>
  </si>
  <si>
    <t>Sleeve deviation % line not appear for non sleeve portfolios.</t>
  </si>
  <si>
    <t>Firm 22700 &gt; Portfolio grid &gt; PID Multiple accounts &gt; Run analytics &gt; check Sleeve Deviation % for Portfolio.</t>
  </si>
  <si>
    <t>Account Grid || Post trade need %</t>
  </si>
  <si>
    <t>Firm 22700 &gt; Account grid &gt; select accounts assigned to portfolio ID 51080 &gt; check PTN% for each account.</t>
  </si>
  <si>
    <t>Post trade need % for accounts should be correct as appeard on sleeve deviation % at Portfolio grid.
It should be 0.00 on both grid.</t>
  </si>
  <si>
    <t>Post trade need % is not rounded upto 2 digits.
Showing 0 at grid and 0.00 in Details.</t>
  </si>
  <si>
    <t xml:space="preserve">This was related to UI and this was not mentioned in 
Acceptance criteria that value should be 0.00.
In javaScript we can not format this type then
I discussed with rahul sir and he accepted and 
decided that we are no going to show value like this. </t>
  </si>
  <si>
    <t>Firm 1100 &gt; Portfolio grid &gt; PID 69474 &gt; has 3 Normal Accounts &gt; Run analytics &gt; Click on + Plus button &gt; check Sleeve Deviation % for Normal accounts &gt; Double click on particular acc. &gt; Account grid &gt; check PTN%.</t>
  </si>
  <si>
    <t>Post trade need % should be same in both Portfolio Grid and Account grid.</t>
  </si>
  <si>
    <r>
      <rPr>
        <rFont val="Arial"/>
        <color theme="1"/>
      </rPr>
      <t>Firm 22700 &gt; Account grid &gt; Account type</t>
    </r>
    <r>
      <rPr>
        <rFont val="Arial"/>
        <b/>
        <color theme="1"/>
      </rPr>
      <t xml:space="preserve"> Custodial, Contribution and Distribution</t>
    </r>
    <r>
      <rPr>
        <rFont val="Arial"/>
        <color theme="1"/>
      </rPr>
      <t xml:space="preserve"> &gt; check PTN% for accounts.</t>
    </r>
  </si>
  <si>
    <t>Post trade need % should be 0 for these type of accounts at Account grid.</t>
  </si>
  <si>
    <t>Account Details || Post trade need %</t>
  </si>
  <si>
    <t>Firm 22700 &gt; Account grid &gt; PID 228 &gt; Select AID 9291 &gt; check Post trade need % for account &gt; Account Details &gt; Check Post trade need %.</t>
  </si>
  <si>
    <t>Post trade need % should be same in both Account Grid and Account Details.</t>
  </si>
  <si>
    <r>
      <rPr>
        <rFont val="Arial"/>
        <color theme="1"/>
      </rPr>
      <t>Firm 22700 &gt; Account grid &gt; Account type</t>
    </r>
    <r>
      <rPr>
        <rFont val="Arial"/>
        <b/>
        <color theme="1"/>
      </rPr>
      <t xml:space="preserve"> Custodial, Contribution and Distribution</t>
    </r>
    <r>
      <rPr>
        <rFont val="Arial"/>
        <color theme="1"/>
      </rPr>
      <t xml:space="preserve"> &gt; Account details &gt; check PTN% for accounts.</t>
    </r>
  </si>
  <si>
    <t>Sleeve deviation % should be null for account type Custodial, Contribution and Distribution.</t>
  </si>
  <si>
    <t>post trade need % not appear Custodial, Contribution and Distribution.</t>
  </si>
  <si>
    <t>Firm 22700 &gt; Account grid &gt; Excluded Account &gt; Portfolio ID 69474 &gt; check Post trade need % for account &gt; Account Details &gt; Check Post trade need %.</t>
  </si>
  <si>
    <t>Sleeve deviation % should be null for Excluded account.</t>
  </si>
  <si>
    <t>Firm 1100 &gt; Portfolio grid &gt; PID 69474 &gt; has 3 Normal Accounts &gt; Run analytics &gt; Click on + Plus button &gt; check Sleeve Deviation % for Normal accounts &gt; Double click on particular acc.</t>
  </si>
  <si>
    <t>Post trade need % should be same in both Portfolio Grid and Account Details.</t>
  </si>
  <si>
    <t>Non sleeve Accounts</t>
  </si>
  <si>
    <t>Firm 22700 &gt; Account grid &gt; select accounts assigned to non sleeve portfolio &gt; check PTN% for each account.</t>
  </si>
  <si>
    <t>Post trade need % line not appear for account type None.</t>
  </si>
  <si>
    <t>Firm 22700 &gt; Account &gt; select accounts assigned to non sleeve portfolio &gt; check PTN% in acccount details.</t>
  </si>
  <si>
    <t>Sleeve deviation % should be null for Non Sleeve Portfolio in both grid and details.</t>
  </si>
  <si>
    <t>Astro and SMA</t>
  </si>
  <si>
    <t>Firm 1100 &gt; PID 51080 &gt; Account ID 35785 is AstroEnabled &gt; and SMA enabled &gt; portfolio grid &gt; plus button &gt; check sleeve deviation and PTN%.</t>
  </si>
  <si>
    <t>Account grid &gt; PTN%.</t>
  </si>
  <si>
    <t>Portfolio details &gt; sleeve deviations %.</t>
  </si>
  <si>
    <t>Account Details &gt; PTN%.</t>
  </si>
  <si>
    <t>Exclude Astro account &gt; Check above cases.</t>
  </si>
  <si>
    <t>Sleeve deviation % should be null for excluded account.</t>
  </si>
  <si>
    <t xml:space="preserve">Portfolio Worth </t>
  </si>
  <si>
    <t>S.Account</t>
  </si>
  <si>
    <t>Acc. value</t>
  </si>
  <si>
    <t>S.Post %</t>
  </si>
  <si>
    <t>S.Target %</t>
  </si>
  <si>
    <t>Excluded. T</t>
  </si>
  <si>
    <t>S.Post trade need %</t>
  </si>
  <si>
    <t>Abs. val</t>
  </si>
  <si>
    <t>Sleeve Deviation %</t>
  </si>
  <si>
    <t>Exclude $</t>
  </si>
  <si>
    <t>Excluded Target</t>
  </si>
  <si>
    <t>Exclude Acc.</t>
  </si>
  <si>
    <t>Exclude Amount</t>
  </si>
  <si>
    <t>Acc. v = Port. w</t>
  </si>
  <si>
    <t>Post % = 100</t>
  </si>
  <si>
    <t>Target % = 100</t>
  </si>
  <si>
    <t>E.Target % = 100</t>
  </si>
  <si>
    <t>(D4/$B$24)*100</t>
  </si>
  <si>
    <t>(G4*100/$F$40)</t>
  </si>
  <si>
    <t>(E4-H4)</t>
  </si>
  <si>
    <t>DIVIDE(K28,2)</t>
  </si>
  <si>
    <t>round(round((E4/$B$31),7)*100,2)</t>
  </si>
  <si>
    <t>round((F4-I4),2)</t>
  </si>
  <si>
    <t>Excluded Security</t>
  </si>
  <si>
    <t>round(SUM(L4:L34),2)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</si>
</sst>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theme="1"/>
      <name val="Arial"/>
    </font>
    <font>
      <b/>
      <sz val="13.0"/>
      <color theme="1"/>
      <name val="Arial"/>
    </font>
    <font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rgb="FF000000"/>
      <name val="Arial"/>
    </font>
    <font>
      <b/>
      <sz val="14.0"/>
      <color theme="1"/>
      <name val="Arial"/>
      <scheme val="minor"/>
    </font>
    <font>
      <color rgb="FF000000"/>
      <name val="Arial"/>
      <scheme val="minor"/>
    </font>
    <font>
      <sz val="14.0"/>
      <color theme="1"/>
      <name val="Arial"/>
      <scheme val="minor"/>
    </font>
    <font>
      <sz val="12.0"/>
      <color rgb="FF000000"/>
      <name val="Arial"/>
    </font>
    <font/>
    <font>
      <sz val="12.0"/>
      <color rgb="FF000000"/>
      <name val="Monospace"/>
    </font>
    <font>
      <b/>
      <sz val="12.0"/>
      <color theme="1"/>
      <name val="Arial"/>
      <scheme val="minor"/>
    </font>
    <font>
      <sz val="14.0"/>
      <color rgb="FF000000"/>
      <name val="Arial"/>
      <scheme val="minor"/>
    </font>
    <font>
      <sz val="9.0"/>
      <color rgb="FF1155CC"/>
      <name val="&quot;Google Sans Mono&quot;"/>
    </font>
    <font>
      <sz val="9.0"/>
      <color rgb="FF0000FF"/>
      <name val="&quot;Google Sans Mono&quot;"/>
    </font>
    <font>
      <sz val="9.0"/>
      <color rgb="FF000000"/>
      <name val="&quot;Google Sans Mono&quot;"/>
    </font>
    <font>
      <sz val="13.0"/>
      <color theme="1"/>
      <name val="Arial"/>
      <scheme val="minor"/>
    </font>
    <font>
      <sz val="13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&quot;Google Sans Mono&quot;"/>
    </font>
    <font>
      <sz val="9.0"/>
      <color rgb="FF7E3794"/>
      <name val="&quot;Google Sans Mono&quot;"/>
    </font>
  </fonts>
  <fills count="16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F1F1F1"/>
        <bgColor rgb="FFF1F1F1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2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7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Font="1"/>
    <xf borderId="0" fillId="4" fontId="7" numFmtId="0" xfId="0" applyAlignment="1" applyFill="1" applyFont="1">
      <alignment horizontal="left" readingOrder="0" shrinkToFit="0" vertical="center" wrapText="1"/>
    </xf>
    <xf borderId="0" fillId="5" fontId="9" numFmtId="0" xfId="0" applyAlignment="1" applyFill="1" applyFont="1">
      <alignment horizontal="left" readingOrder="0" shrinkToFit="0" vertical="center" wrapText="1"/>
    </xf>
    <xf borderId="0" fillId="6" fontId="10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center"/>
    </xf>
    <xf borderId="0" fillId="7" fontId="9" numFmtId="0" xfId="0" applyAlignment="1" applyFill="1" applyFont="1">
      <alignment horizontal="left" readingOrder="0" shrinkToFit="0" vertical="center" wrapText="1"/>
    </xf>
    <xf borderId="0" fillId="6" fontId="11" numFmtId="0" xfId="0" applyAlignment="1" applyFont="1">
      <alignment horizontal="left" readingOrder="0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3" numFmtId="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5" numFmtId="4" xfId="0" applyAlignment="1" applyFont="1" applyNumberFormat="1">
      <alignment readingOrder="0"/>
    </xf>
    <xf borderId="0" fillId="0" fontId="14" numFmtId="0" xfId="0" applyFont="1"/>
    <xf borderId="1" fillId="0" fontId="14" numFmtId="0" xfId="0" applyAlignment="1" applyBorder="1" applyFont="1">
      <alignment readingOrder="0"/>
    </xf>
    <xf borderId="2" fillId="8" fontId="14" numFmtId="0" xfId="0" applyBorder="1" applyFill="1" applyFont="1"/>
    <xf borderId="2" fillId="9" fontId="14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4" xfId="0" applyAlignment="1" applyFont="1" applyNumberFormat="1">
      <alignment horizontal="center" readingOrder="0" shrinkToFit="0" vertical="center" wrapText="1"/>
    </xf>
    <xf borderId="3" fillId="0" fontId="16" numFmtId="0" xfId="0" applyBorder="1" applyFont="1"/>
    <xf borderId="0" fillId="0" fontId="15" numFmtId="0" xfId="0" applyAlignment="1" applyFont="1">
      <alignment readingOrder="0"/>
    </xf>
    <xf borderId="4" fillId="0" fontId="16" numFmtId="0" xfId="0" applyBorder="1" applyFont="1"/>
    <xf borderId="0" fillId="0" fontId="14" numFmtId="0" xfId="0" applyAlignment="1" applyFont="1">
      <alignment horizontal="center" vertical="center"/>
    </xf>
    <xf borderId="0" fillId="0" fontId="17" numFmtId="0" xfId="0" applyAlignment="1" applyFont="1">
      <alignment readingOrder="0"/>
    </xf>
    <xf borderId="0" fillId="0" fontId="9" numFmtId="0" xfId="0" applyAlignment="1" applyFont="1">
      <alignment readingOrder="0"/>
    </xf>
    <xf borderId="1" fillId="10" fontId="15" numFmtId="0" xfId="0" applyAlignment="1" applyBorder="1" applyFill="1" applyFont="1">
      <alignment readingOrder="0"/>
    </xf>
    <xf borderId="1" fillId="10" fontId="14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0" fillId="0" fontId="14" numFmtId="4" xfId="0" applyFont="1" applyNumberFormat="1"/>
    <xf borderId="0" fillId="11" fontId="7" numFmtId="0" xfId="0" applyFill="1" applyFont="1"/>
    <xf borderId="0" fillId="11" fontId="14" numFmtId="0" xfId="0" applyFont="1"/>
    <xf borderId="0" fillId="11" fontId="19" numFmtId="0" xfId="0" applyAlignment="1" applyFont="1">
      <alignment horizontal="center" shrinkToFit="0" vertical="center" wrapText="1"/>
    </xf>
    <xf borderId="0" fillId="6" fontId="20" numFmtId="0" xfId="0" applyAlignment="1" applyFont="1">
      <alignment horizontal="left" readingOrder="0"/>
    </xf>
    <xf borderId="0" fillId="0" fontId="21" numFmtId="0" xfId="0" applyAlignment="1" applyFont="1">
      <alignment horizontal="left" readingOrder="0"/>
    </xf>
    <xf borderId="0" fillId="6" fontId="22" numFmtId="0" xfId="0" applyAlignment="1" applyFont="1">
      <alignment horizontal="left" readingOrder="0"/>
    </xf>
    <xf borderId="0" fillId="0" fontId="23" numFmtId="0" xfId="0" applyFont="1"/>
    <xf borderId="0" fillId="0" fontId="17" numFmtId="4" xfId="0" applyAlignment="1" applyFont="1" applyNumberFormat="1">
      <alignment readingOrder="0"/>
    </xf>
    <xf borderId="0" fillId="0" fontId="23" numFmtId="0" xfId="0" applyAlignment="1" applyFont="1">
      <alignment readingOrder="0"/>
    </xf>
    <xf borderId="1" fillId="0" fontId="23" numFmtId="0" xfId="0" applyAlignment="1" applyBorder="1" applyFont="1">
      <alignment readingOrder="0"/>
    </xf>
    <xf borderId="1" fillId="0" fontId="23" numFmtId="0" xfId="0" applyBorder="1" applyFont="1"/>
    <xf borderId="2" fillId="12" fontId="23" numFmtId="0" xfId="0" applyBorder="1" applyFill="1" applyFont="1"/>
    <xf borderId="2" fillId="9" fontId="23" numFmtId="0" xfId="0" applyAlignment="1" applyBorder="1" applyFont="1">
      <alignment horizontal="center" vertical="center"/>
    </xf>
    <xf borderId="0" fillId="0" fontId="24" numFmtId="4" xfId="0" applyAlignment="1" applyFont="1" applyNumberFormat="1">
      <alignment readingOrder="0"/>
    </xf>
    <xf borderId="3" fillId="0" fontId="23" numFmtId="0" xfId="0" applyAlignment="1" applyBorder="1" applyFont="1">
      <alignment readingOrder="0"/>
    </xf>
    <xf borderId="3" fillId="12" fontId="23" numFmtId="0" xfId="0" applyBorder="1" applyFont="1"/>
    <xf borderId="0" fillId="0" fontId="24" numFmtId="4" xfId="0" applyAlignment="1" applyFont="1" applyNumberFormat="1">
      <alignment horizontal="center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1" fillId="0" fontId="24" numFmtId="0" xfId="0" applyAlignment="1" applyBorder="1" applyFont="1">
      <alignment readingOrder="0"/>
    </xf>
    <xf borderId="3" fillId="0" fontId="23" numFmtId="0" xfId="0" applyBorder="1" applyFont="1"/>
    <xf borderId="4" fillId="12" fontId="23" numFmtId="0" xfId="0" applyBorder="1" applyFont="1"/>
    <xf borderId="0" fillId="0" fontId="23" numFmtId="0" xfId="0" applyAlignment="1" applyFont="1">
      <alignment horizontal="center" vertical="center"/>
    </xf>
    <xf borderId="1" fillId="10" fontId="24" numFmtId="0" xfId="0" applyAlignment="1" applyBorder="1" applyFont="1">
      <alignment readingOrder="0"/>
    </xf>
    <xf borderId="1" fillId="3" fontId="23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" fillId="10" fontId="23" numFmtId="0" xfId="0" applyAlignment="1" applyBorder="1" applyFont="1">
      <alignment readingOrder="0"/>
    </xf>
    <xf borderId="1" fillId="10" fontId="23" numFmtId="0" xfId="0" applyBorder="1" applyFont="1"/>
    <xf borderId="0" fillId="0" fontId="24" numFmtId="0" xfId="0" applyAlignment="1" applyFont="1">
      <alignment readingOrder="0"/>
    </xf>
    <xf borderId="0" fillId="0" fontId="23" numFmtId="4" xfId="0" applyFont="1" applyNumberFormat="1"/>
    <xf borderId="0" fillId="11" fontId="23" numFmtId="0" xfId="0" applyFont="1"/>
    <xf borderId="0" fillId="0" fontId="24" numFmtId="0" xfId="0" applyAlignment="1" applyFont="1">
      <alignment horizontal="center" shrinkToFit="0" vertical="center" wrapText="1"/>
    </xf>
    <xf borderId="0" fillId="10" fontId="25" numFmtId="0" xfId="0" applyAlignment="1" applyFont="1">
      <alignment shrinkToFit="0" vertical="center" wrapText="0"/>
    </xf>
    <xf borderId="0" fillId="10" fontId="26" numFmtId="0" xfId="0" applyAlignment="1" applyFont="1">
      <alignment horizontal="left" readingOrder="0" shrinkToFit="0" wrapText="0"/>
    </xf>
    <xf borderId="0" fillId="10" fontId="25" numFmtId="0" xfId="0" applyAlignment="1" applyFont="1">
      <alignment readingOrder="0" shrinkToFit="0" vertical="center" wrapText="0"/>
    </xf>
    <xf borderId="0" fillId="13" fontId="15" numFmtId="0" xfId="0" applyAlignment="1" applyFill="1" applyFont="1">
      <alignment readingOrder="0"/>
    </xf>
    <xf borderId="5" fillId="0" fontId="23" numFmtId="0" xfId="0" applyBorder="1" applyFont="1"/>
    <xf borderId="0" fillId="14" fontId="15" numFmtId="0" xfId="0" applyAlignment="1" applyFill="1" applyFont="1">
      <alignment readingOrder="0"/>
    </xf>
    <xf borderId="6" fillId="0" fontId="23" numFmtId="0" xfId="0" applyBorder="1" applyFont="1"/>
    <xf borderId="7" fillId="0" fontId="23" numFmtId="0" xfId="0" applyAlignment="1" applyBorder="1" applyFont="1">
      <alignment readingOrder="0"/>
    </xf>
    <xf borderId="8" fillId="0" fontId="23" numFmtId="0" xfId="0" applyBorder="1" applyFont="1"/>
    <xf borderId="7" fillId="0" fontId="23" numFmtId="0" xfId="0" applyBorder="1" applyFont="1"/>
    <xf borderId="9" fillId="0" fontId="23" numFmtId="0" xfId="0" applyBorder="1" applyFont="1"/>
    <xf borderId="10" fillId="0" fontId="23" numFmtId="0" xfId="0" applyBorder="1" applyFont="1"/>
    <xf borderId="11" fillId="0" fontId="23" numFmtId="0" xfId="0" applyBorder="1" applyFont="1"/>
    <xf borderId="0" fillId="14" fontId="23" numFmtId="0" xfId="0" applyFont="1"/>
    <xf borderId="0" fillId="10" fontId="23" numFmtId="0" xfId="0" applyFont="1"/>
    <xf borderId="0" fillId="10" fontId="26" numFmtId="0" xfId="0" applyAlignment="1" applyFont="1">
      <alignment horizontal="left" readingOrder="0"/>
    </xf>
    <xf borderId="0" fillId="15" fontId="15" numFmtId="0" xfId="0" applyAlignment="1" applyFill="1" applyFont="1">
      <alignment readingOrder="0"/>
    </xf>
    <xf borderId="12" fillId="0" fontId="7" numFmtId="0" xfId="0" applyBorder="1" applyFont="1"/>
    <xf borderId="0" fillId="6" fontId="2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8</xdr:row>
      <xdr:rowOff>0</xdr:rowOff>
    </xdr:from>
    <xdr:ext cx="6953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9239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899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71.5"/>
    <col customWidth="1" min="2" max="2" width="39.25"/>
    <col customWidth="1" min="3" max="3" width="33.25"/>
    <col customWidth="1" min="4" max="4" width="9.38"/>
    <col customWidth="1" min="5" max="5" width="39.25"/>
    <col customWidth="1" min="6" max="6" width="28.75"/>
  </cols>
  <sheetData>
    <row r="1">
      <c r="A1" s="1" t="s">
        <v>0</v>
      </c>
      <c r="C1" s="2" t="s">
        <v>1</v>
      </c>
      <c r="E1" s="3" t="s">
        <v>2</v>
      </c>
      <c r="F1" s="4">
        <v>-7.0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8" t="s">
        <v>8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9" t="s">
        <v>9</v>
      </c>
      <c r="B4" s="10"/>
      <c r="C4" s="11"/>
      <c r="D4" s="11"/>
      <c r="E4" s="12"/>
      <c r="F4" s="13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10</v>
      </c>
      <c r="B5" s="12" t="s">
        <v>11</v>
      </c>
      <c r="C5" s="12" t="s">
        <v>12</v>
      </c>
      <c r="D5" s="12" t="s">
        <v>13</v>
      </c>
      <c r="E5" s="12" t="s">
        <v>14</v>
      </c>
      <c r="F5" s="13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15</v>
      </c>
      <c r="B6" s="12" t="s">
        <v>16</v>
      </c>
      <c r="C6" s="12" t="s">
        <v>12</v>
      </c>
      <c r="D6" s="12" t="s">
        <v>13</v>
      </c>
      <c r="E6" s="11"/>
      <c r="F6" s="13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17</v>
      </c>
      <c r="B7" s="14" t="s">
        <v>18</v>
      </c>
      <c r="C7" s="12" t="s">
        <v>12</v>
      </c>
      <c r="D7" s="12" t="s">
        <v>13</v>
      </c>
      <c r="E7" s="11"/>
      <c r="F7" s="13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3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19</v>
      </c>
      <c r="B9" s="12" t="s">
        <v>20</v>
      </c>
      <c r="C9" s="15" t="s">
        <v>21</v>
      </c>
      <c r="D9" s="15" t="s">
        <v>13</v>
      </c>
      <c r="E9" s="11"/>
      <c r="F9" s="16">
        <v>-1.0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3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7" t="s">
        <v>22</v>
      </c>
      <c r="B11" s="12" t="s">
        <v>23</v>
      </c>
      <c r="C11" s="12" t="s">
        <v>12</v>
      </c>
      <c r="D11" s="12" t="s">
        <v>13</v>
      </c>
      <c r="E11" s="11"/>
      <c r="F11" s="1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3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" t="s">
        <v>24</v>
      </c>
      <c r="B13" s="12" t="s">
        <v>25</v>
      </c>
      <c r="C13" s="15" t="s">
        <v>26</v>
      </c>
      <c r="D13" s="15" t="s">
        <v>13</v>
      </c>
      <c r="E13" s="18"/>
      <c r="F13" s="16">
        <v>-1.0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3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2" t="s">
        <v>27</v>
      </c>
      <c r="B15" s="12" t="s">
        <v>28</v>
      </c>
      <c r="C15" s="12" t="s">
        <v>12</v>
      </c>
      <c r="D15" s="12" t="s">
        <v>13</v>
      </c>
      <c r="E15" s="11"/>
      <c r="F15" s="13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29</v>
      </c>
      <c r="B17" s="12" t="s">
        <v>30</v>
      </c>
      <c r="C17" s="12" t="s">
        <v>31</v>
      </c>
      <c r="D17" s="12" t="s">
        <v>13</v>
      </c>
      <c r="E17" s="11"/>
      <c r="F17" s="13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3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4" t="s">
        <v>32</v>
      </c>
      <c r="B19" s="11"/>
      <c r="C19" s="11"/>
      <c r="D19" s="11"/>
      <c r="E19" s="11"/>
      <c r="F19" s="13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33</v>
      </c>
      <c r="B20" s="12" t="s">
        <v>34</v>
      </c>
      <c r="C20" s="12" t="s">
        <v>12</v>
      </c>
      <c r="D20" s="12" t="s">
        <v>13</v>
      </c>
      <c r="E20" s="11"/>
      <c r="F20" s="13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3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 t="s">
        <v>35</v>
      </c>
      <c r="B22" s="12" t="s">
        <v>36</v>
      </c>
      <c r="C22" s="12" t="s">
        <v>12</v>
      </c>
      <c r="D22" s="12" t="s">
        <v>13</v>
      </c>
      <c r="E22" s="11"/>
      <c r="F22" s="13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 t="s">
        <v>37</v>
      </c>
      <c r="B24" s="12" t="s">
        <v>38</v>
      </c>
      <c r="C24" s="12" t="s">
        <v>12</v>
      </c>
      <c r="D24" s="12" t="s">
        <v>13</v>
      </c>
      <c r="E24" s="11"/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 t="s">
        <v>39</v>
      </c>
      <c r="B26" s="12" t="s">
        <v>40</v>
      </c>
      <c r="C26" s="19" t="s">
        <v>41</v>
      </c>
      <c r="D26" s="19" t="s">
        <v>42</v>
      </c>
      <c r="E26" s="11"/>
      <c r="F26" s="16" t="s">
        <v>43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9" t="s">
        <v>44</v>
      </c>
      <c r="B29" s="10"/>
      <c r="C29" s="11"/>
      <c r="D29" s="11"/>
      <c r="E29" s="11"/>
      <c r="F29" s="1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 t="s">
        <v>45</v>
      </c>
      <c r="B30" s="12" t="s">
        <v>46</v>
      </c>
      <c r="C30" s="12" t="s">
        <v>12</v>
      </c>
      <c r="D30" s="12" t="s">
        <v>13</v>
      </c>
      <c r="E30" s="11"/>
      <c r="F30" s="1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3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 t="s">
        <v>47</v>
      </c>
      <c r="B32" s="12" t="s">
        <v>46</v>
      </c>
      <c r="C32" s="12" t="s">
        <v>12</v>
      </c>
      <c r="D32" s="12" t="s">
        <v>13</v>
      </c>
      <c r="E32" s="11"/>
      <c r="F32" s="13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3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0" t="s">
        <v>48</v>
      </c>
      <c r="B34" s="11"/>
      <c r="C34" s="11"/>
      <c r="D34" s="11"/>
      <c r="E34" s="11"/>
      <c r="F34" s="13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 t="s">
        <v>49</v>
      </c>
      <c r="B35" s="12" t="s">
        <v>50</v>
      </c>
      <c r="C35" s="12" t="s">
        <v>12</v>
      </c>
      <c r="D35" s="12" t="s">
        <v>13</v>
      </c>
      <c r="E35" s="21" t="s">
        <v>51</v>
      </c>
      <c r="F35" s="13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F36" s="13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 t="s">
        <v>52</v>
      </c>
      <c r="B37" s="12" t="s">
        <v>50</v>
      </c>
      <c r="C37" s="12" t="s">
        <v>12</v>
      </c>
      <c r="D37" s="12" t="s">
        <v>13</v>
      </c>
      <c r="F37" s="13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F38" s="22"/>
    </row>
    <row r="39">
      <c r="A39" s="9" t="s">
        <v>53</v>
      </c>
      <c r="B39" s="10"/>
      <c r="C39" s="11"/>
      <c r="D39" s="11"/>
      <c r="E39" s="11"/>
      <c r="F39" s="13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 t="s">
        <v>54</v>
      </c>
      <c r="B40" s="12" t="s">
        <v>55</v>
      </c>
      <c r="C40" s="15" t="s">
        <v>56</v>
      </c>
      <c r="D40" s="15" t="s">
        <v>13</v>
      </c>
      <c r="E40" s="12" t="s">
        <v>57</v>
      </c>
      <c r="F40" s="16">
        <v>-5.0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3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 t="s">
        <v>58</v>
      </c>
      <c r="B42" s="12" t="s">
        <v>59</v>
      </c>
      <c r="C42" s="12" t="s">
        <v>12</v>
      </c>
      <c r="D42" s="12" t="s">
        <v>13</v>
      </c>
      <c r="E42" s="11"/>
      <c r="F42" s="1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 t="s">
        <v>60</v>
      </c>
      <c r="B44" s="12" t="s">
        <v>61</v>
      </c>
      <c r="C44" s="12" t="s">
        <v>12</v>
      </c>
      <c r="D44" s="12" t="s">
        <v>13</v>
      </c>
      <c r="E44" s="11"/>
      <c r="F44" s="13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3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9" t="s">
        <v>62</v>
      </c>
      <c r="B46" s="10"/>
      <c r="C46" s="11"/>
      <c r="D46" s="11"/>
      <c r="E46" s="11"/>
      <c r="F46" s="13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 t="s">
        <v>63</v>
      </c>
      <c r="B47" s="12" t="s">
        <v>64</v>
      </c>
      <c r="C47" s="12" t="s">
        <v>12</v>
      </c>
      <c r="D47" s="12" t="s">
        <v>13</v>
      </c>
      <c r="E47" s="11"/>
      <c r="F47" s="13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 t="s">
        <v>65</v>
      </c>
      <c r="B49" s="12" t="s">
        <v>66</v>
      </c>
      <c r="C49" s="12" t="s">
        <v>67</v>
      </c>
      <c r="D49" s="12" t="s">
        <v>13</v>
      </c>
      <c r="F49" s="13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F50" s="13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 t="s">
        <v>68</v>
      </c>
      <c r="B51" s="12" t="s">
        <v>69</v>
      </c>
      <c r="C51" s="12" t="s">
        <v>12</v>
      </c>
      <c r="D51" s="12" t="s">
        <v>13</v>
      </c>
      <c r="F51" s="1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/>
      <c r="B52" s="11"/>
      <c r="C52" s="11"/>
      <c r="D52" s="11"/>
      <c r="E52" s="11"/>
      <c r="F52" s="13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2" t="s">
        <v>70</v>
      </c>
      <c r="B53" s="12" t="s">
        <v>71</v>
      </c>
      <c r="C53" s="12" t="s">
        <v>12</v>
      </c>
      <c r="D53" s="12" t="s">
        <v>13</v>
      </c>
      <c r="E53" s="11"/>
      <c r="F53" s="13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3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0" t="s">
        <v>72</v>
      </c>
      <c r="B55" s="11"/>
      <c r="C55" s="11"/>
      <c r="D55" s="11"/>
      <c r="E55" s="11"/>
      <c r="F55" s="13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2" t="s">
        <v>73</v>
      </c>
      <c r="B56" s="12" t="s">
        <v>50</v>
      </c>
      <c r="C56" s="12" t="s">
        <v>12</v>
      </c>
      <c r="D56" s="12" t="s">
        <v>13</v>
      </c>
      <c r="E56" s="14" t="s">
        <v>74</v>
      </c>
      <c r="F56" s="13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F57" s="13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 t="s">
        <v>75</v>
      </c>
      <c r="B58" s="12" t="s">
        <v>76</v>
      </c>
      <c r="C58" s="12" t="s">
        <v>12</v>
      </c>
      <c r="D58" s="12" t="s">
        <v>13</v>
      </c>
      <c r="F58" s="13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3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3" t="s">
        <v>77</v>
      </c>
      <c r="B60" s="11"/>
      <c r="C60" s="11"/>
      <c r="D60" s="11"/>
      <c r="E60" s="11"/>
      <c r="F60" s="13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2" t="s">
        <v>78</v>
      </c>
      <c r="B61" s="11"/>
      <c r="C61" s="12" t="s">
        <v>12</v>
      </c>
      <c r="D61" s="12" t="s">
        <v>13</v>
      </c>
      <c r="E61" s="11"/>
      <c r="F61" s="13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4" t="s">
        <v>79</v>
      </c>
      <c r="B62" s="11"/>
      <c r="C62" s="12" t="s">
        <v>12</v>
      </c>
      <c r="D62" s="12" t="s">
        <v>13</v>
      </c>
      <c r="E62" s="11"/>
      <c r="F62" s="13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2" t="s">
        <v>80</v>
      </c>
      <c r="B63" s="11"/>
      <c r="C63" s="12" t="s">
        <v>12</v>
      </c>
      <c r="D63" s="12" t="s">
        <v>13</v>
      </c>
      <c r="E63" s="11"/>
      <c r="F63" s="13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2" t="s">
        <v>81</v>
      </c>
      <c r="B64" s="11"/>
      <c r="C64" s="12" t="s">
        <v>12</v>
      </c>
      <c r="D64" s="12" t="s">
        <v>13</v>
      </c>
      <c r="E64" s="11"/>
      <c r="F64" s="13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2" t="s">
        <v>82</v>
      </c>
      <c r="B65" s="12" t="s">
        <v>83</v>
      </c>
      <c r="C65" s="12" t="s">
        <v>12</v>
      </c>
      <c r="D65" s="12" t="s">
        <v>13</v>
      </c>
      <c r="E65" s="11"/>
      <c r="F65" s="13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3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3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3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3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3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3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3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3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3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3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3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3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3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3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3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3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3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3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3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3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3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3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3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3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3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3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3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3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3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3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3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3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3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3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3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3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3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3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3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3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3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3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3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3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3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3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3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3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3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3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3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3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3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3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3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3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3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3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3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3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3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3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3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3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3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3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3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3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3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3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3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3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3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3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3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3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3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3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3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3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3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3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3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3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3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3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3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3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3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3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3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3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3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3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3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3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3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3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3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3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3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3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3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3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3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3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3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3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3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3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3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3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3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3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3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3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3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3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3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3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3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3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3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3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3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3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3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3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3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3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3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3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3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3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3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3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3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3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3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3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3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3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3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3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3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3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3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3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3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3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3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3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3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3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3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3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3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3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3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3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3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3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3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3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3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3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3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3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3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3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3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3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3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3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3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3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3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3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3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3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3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3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3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3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3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3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3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3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3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3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3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3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3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3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3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3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3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3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3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3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3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3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3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3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3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3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3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3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3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3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3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3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3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3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3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3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3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3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3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3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3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3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3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3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3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3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3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3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3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3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3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3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3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3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3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3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3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3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3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3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3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3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3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3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3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3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3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3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3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3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3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3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3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3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3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3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3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3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3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3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3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3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3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3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3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3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3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3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3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3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3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3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3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3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3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3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3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3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3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3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3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3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3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3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3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3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3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3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3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3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3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3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3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3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3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3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3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3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3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3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3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3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3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3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3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3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3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3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3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3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3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3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3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3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3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3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3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3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3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3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3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3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3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3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3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3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3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3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3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3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3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3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3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3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3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3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3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3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3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3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3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3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3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3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3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3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3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3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3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3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3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3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3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3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3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3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3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3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3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3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3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3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3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3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3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3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3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3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3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3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3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3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3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3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3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3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3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3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3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3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3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3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3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3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3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3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3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3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3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3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3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3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3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3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3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3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3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3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3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3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3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3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3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3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3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3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3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3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3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3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3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3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3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3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3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3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3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3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3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3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3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3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3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3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3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3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3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3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3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3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3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3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3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3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3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3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3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3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3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3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3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3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3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3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3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3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3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3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3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3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3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3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3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3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3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3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3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3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3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3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3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3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3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3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3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3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3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3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3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3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3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3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3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3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3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3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3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3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3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3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3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3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3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3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3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3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3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3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3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3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3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3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3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3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3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3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3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3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3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3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3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3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3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3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3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3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3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3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3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3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3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3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3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3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3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3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3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3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3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3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3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3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3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3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3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3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3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3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3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3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3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3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3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3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3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3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3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3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3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3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3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3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3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3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3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3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3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3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3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3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3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3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3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3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3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3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3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3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3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3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3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3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3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3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3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3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3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3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3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3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3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3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3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3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3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3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3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3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3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3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3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3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3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3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3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3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3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3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3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3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3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3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3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3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3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3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3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3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3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3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3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3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3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3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3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3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3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3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3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3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3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3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3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3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3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3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3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3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3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3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3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3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3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3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3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3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3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3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3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3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3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3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3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3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3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3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3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3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3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3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3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3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3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3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3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3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3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3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3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3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3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3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3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3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3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3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3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3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3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3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3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3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3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3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3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3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3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3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3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3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3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3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3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3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3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3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3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3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3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3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3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3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3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3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3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3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3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3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3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3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3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3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3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3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3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3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3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3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3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3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3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3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3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3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3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3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3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3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3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3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3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3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3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3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3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3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3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3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3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3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3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3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3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3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</sheetData>
  <mergeCells count="4">
    <mergeCell ref="A1:B1"/>
    <mergeCell ref="C1:D1"/>
    <mergeCell ref="E35:E37"/>
    <mergeCell ref="E56:E58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0.88"/>
    <col customWidth="1" min="3" max="3" width="15.5"/>
    <col customWidth="1" min="4" max="4" width="19.25"/>
    <col customWidth="1" min="5" max="5" width="15.75"/>
    <col customWidth="1" min="6" max="6" width="13.88"/>
    <col customWidth="1" min="7" max="7" width="20.38"/>
    <col customWidth="1" min="8" max="8" width="15.75"/>
    <col customWidth="1" min="9" max="9" width="20.75"/>
    <col customWidth="1" min="10" max="10" width="10.38"/>
    <col customWidth="1" min="11" max="11" width="6.25"/>
    <col customWidth="1" min="12" max="12" width="12.25"/>
    <col customWidth="1" min="14" max="14" width="23.5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26"/>
      <c r="B3" s="26" t="s">
        <v>84</v>
      </c>
      <c r="C3" s="26" t="s">
        <v>85</v>
      </c>
      <c r="D3" s="26" t="s">
        <v>86</v>
      </c>
      <c r="E3" s="26" t="s">
        <v>87</v>
      </c>
      <c r="F3" s="25"/>
      <c r="G3" s="26" t="s">
        <v>88</v>
      </c>
      <c r="H3" s="26" t="s">
        <v>89</v>
      </c>
      <c r="I3" s="26" t="s">
        <v>90</v>
      </c>
      <c r="J3" s="26" t="s">
        <v>90</v>
      </c>
      <c r="K3" s="26"/>
      <c r="L3" s="26" t="s">
        <v>91</v>
      </c>
      <c r="M3" s="25"/>
      <c r="N3" s="26" t="s">
        <v>92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27"/>
      <c r="B4" s="27">
        <v>1903926.1830723</v>
      </c>
      <c r="C4" s="28">
        <v>1583.0</v>
      </c>
      <c r="D4" s="29">
        <v>347098.7688935</v>
      </c>
      <c r="E4" s="28">
        <f t="shared" ref="E4:E10" si="1">round(round((D4/$B$23),7)*100,7)</f>
        <v>24.47321</v>
      </c>
      <c r="F4" s="30"/>
      <c r="G4" s="31">
        <v>25.0</v>
      </c>
      <c r="H4" s="30">
        <f>(G4*100/$F$39)</f>
        <v>25</v>
      </c>
      <c r="I4" s="30">
        <f t="shared" ref="I4:I10" si="2">round((E4-H4),7)</f>
        <v>-0.52679</v>
      </c>
      <c r="J4" s="32">
        <f t="shared" ref="J4:J10" si="3">ROUND((E4-H4),2)</f>
        <v>-0.53</v>
      </c>
      <c r="K4" s="30"/>
      <c r="L4" s="30">
        <f t="shared" ref="L4:L10" si="4">ABS(I4)</f>
        <v>0.52679</v>
      </c>
      <c r="M4" s="30"/>
      <c r="N4" s="33">
        <f>round(DIVIDE(L27,2),2)</f>
        <v>0.95</v>
      </c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34"/>
      <c r="B5" s="35">
        <f t="shared" ref="B5:B10" si="5">B4</f>
        <v>1903926.183</v>
      </c>
      <c r="C5" s="30"/>
      <c r="D5" s="30"/>
      <c r="E5" s="28">
        <f t="shared" si="1"/>
        <v>0</v>
      </c>
      <c r="F5" s="30"/>
      <c r="G5" s="30"/>
      <c r="H5" s="30"/>
      <c r="I5" s="30">
        <f t="shared" si="2"/>
        <v>0</v>
      </c>
      <c r="J5" s="32">
        <f t="shared" si="3"/>
        <v>0</v>
      </c>
      <c r="K5" s="30"/>
      <c r="L5" s="30">
        <f t="shared" si="4"/>
        <v>0</v>
      </c>
      <c r="M5" s="30"/>
      <c r="N5" s="36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34"/>
      <c r="B6" s="35">
        <f t="shared" si="5"/>
        <v>1903926.183</v>
      </c>
      <c r="C6" s="28">
        <v>1584.0</v>
      </c>
      <c r="D6" s="37">
        <v>368020.7917331</v>
      </c>
      <c r="E6" s="28">
        <f t="shared" si="1"/>
        <v>25.94838</v>
      </c>
      <c r="F6" s="30"/>
      <c r="G6" s="31">
        <v>25.0</v>
      </c>
      <c r="H6" s="30">
        <f>(G6*100/$F$39)</f>
        <v>25</v>
      </c>
      <c r="I6" s="30">
        <f t="shared" si="2"/>
        <v>0.94838</v>
      </c>
      <c r="J6" s="32">
        <f t="shared" si="3"/>
        <v>0.95</v>
      </c>
      <c r="K6" s="30"/>
      <c r="L6" s="30">
        <f t="shared" si="4"/>
        <v>0.94838</v>
      </c>
      <c r="M6" s="30"/>
      <c r="N6" s="36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34"/>
      <c r="B7" s="35">
        <f t="shared" si="5"/>
        <v>1903926.183</v>
      </c>
      <c r="C7" s="30"/>
      <c r="D7" s="30"/>
      <c r="E7" s="28">
        <f t="shared" si="1"/>
        <v>0</v>
      </c>
      <c r="F7" s="30"/>
      <c r="G7" s="30"/>
      <c r="H7" s="30"/>
      <c r="I7" s="30">
        <f t="shared" si="2"/>
        <v>0</v>
      </c>
      <c r="J7" s="32">
        <f t="shared" si="3"/>
        <v>0</v>
      </c>
      <c r="K7" s="30"/>
      <c r="L7" s="30">
        <f t="shared" si="4"/>
        <v>0</v>
      </c>
      <c r="M7" s="30"/>
      <c r="N7" s="36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34"/>
      <c r="B8" s="35">
        <f t="shared" si="5"/>
        <v>1903926.183</v>
      </c>
      <c r="C8" s="28">
        <v>1585.0</v>
      </c>
      <c r="D8" s="37">
        <v>703160.7500457</v>
      </c>
      <c r="E8" s="28">
        <f t="shared" si="1"/>
        <v>49.5784</v>
      </c>
      <c r="F8" s="30"/>
      <c r="G8" s="31">
        <v>50.0</v>
      </c>
      <c r="H8" s="30">
        <f>(G8*100/$F$39)</f>
        <v>50</v>
      </c>
      <c r="I8" s="30">
        <f t="shared" si="2"/>
        <v>-0.4216</v>
      </c>
      <c r="J8" s="32">
        <f t="shared" si="3"/>
        <v>-0.42</v>
      </c>
      <c r="K8" s="30"/>
      <c r="L8" s="30">
        <f t="shared" si="4"/>
        <v>0.4216</v>
      </c>
      <c r="M8" s="30"/>
      <c r="N8" s="36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34"/>
      <c r="B9" s="35">
        <f t="shared" si="5"/>
        <v>1903926.183</v>
      </c>
      <c r="C9" s="30"/>
      <c r="D9" s="30"/>
      <c r="E9" s="28">
        <f t="shared" si="1"/>
        <v>0</v>
      </c>
      <c r="F9" s="30"/>
      <c r="G9" s="30"/>
      <c r="H9" s="30"/>
      <c r="I9" s="30">
        <f t="shared" si="2"/>
        <v>0</v>
      </c>
      <c r="J9" s="32">
        <f t="shared" si="3"/>
        <v>0</v>
      </c>
      <c r="K9" s="30"/>
      <c r="L9" s="30">
        <f t="shared" si="4"/>
        <v>0</v>
      </c>
      <c r="M9" s="30"/>
      <c r="N9" s="36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34"/>
      <c r="B10" s="35">
        <f t="shared" si="5"/>
        <v>1903926.183</v>
      </c>
      <c r="C10" s="28">
        <v>1586.0</v>
      </c>
      <c r="D10" s="37">
        <v>0.0</v>
      </c>
      <c r="E10" s="28">
        <f t="shared" si="1"/>
        <v>0</v>
      </c>
      <c r="F10" s="30"/>
      <c r="G10" s="31">
        <v>0.0</v>
      </c>
      <c r="H10" s="30">
        <f>(G10*100/$F$39)</f>
        <v>0</v>
      </c>
      <c r="I10" s="30">
        <f t="shared" si="2"/>
        <v>0</v>
      </c>
      <c r="J10" s="32">
        <f t="shared" si="3"/>
        <v>0</v>
      </c>
      <c r="K10" s="30"/>
      <c r="L10" s="30">
        <f t="shared" si="4"/>
        <v>0</v>
      </c>
      <c r="M10" s="30"/>
      <c r="N10" s="38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34"/>
      <c r="B11" s="34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9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C12" s="30"/>
      <c r="D12" s="30"/>
      <c r="E12" s="30"/>
      <c r="G12" s="30"/>
      <c r="H12" s="30"/>
      <c r="I12" s="30"/>
      <c r="J12" s="30"/>
      <c r="K12" s="30"/>
      <c r="L12" s="30"/>
      <c r="M12" s="30"/>
      <c r="N12" s="39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34" t="s">
        <v>93</v>
      </c>
      <c r="B13" s="40">
        <v>485645.8724</v>
      </c>
      <c r="C13" s="30"/>
      <c r="D13" s="28"/>
      <c r="E13" s="30"/>
      <c r="F13" s="30"/>
      <c r="G13" s="30"/>
      <c r="H13" s="30"/>
      <c r="I13" s="30"/>
      <c r="J13" s="30"/>
      <c r="K13" s="30"/>
      <c r="L13" s="30"/>
      <c r="M13" s="30"/>
      <c r="N13" s="39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30"/>
      <c r="B14" s="28">
        <v>0.0</v>
      </c>
      <c r="C14" s="30"/>
      <c r="D14" s="30"/>
      <c r="E14" s="30"/>
      <c r="F14" s="41" t="s">
        <v>94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34" t="s">
        <v>95</v>
      </c>
      <c r="B15" s="42">
        <v>0.0</v>
      </c>
      <c r="C15" s="30"/>
      <c r="D15" s="30"/>
      <c r="E15" s="30"/>
      <c r="F15" s="43">
        <v>0.0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44" t="s">
        <v>96</v>
      </c>
      <c r="B19" s="37">
        <f>SUM(B13,B15,B14)</f>
        <v>485645.8724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30"/>
      <c r="B23" s="45">
        <f>B4-B19</f>
        <v>1418280.311</v>
      </c>
      <c r="C23" s="30"/>
      <c r="D23" s="45">
        <f>sum(D4:D16)</f>
        <v>1418280.311</v>
      </c>
      <c r="E23" s="30">
        <f>sum(E4:E10)</f>
        <v>99.99999</v>
      </c>
      <c r="F23" s="30"/>
      <c r="G23" s="30">
        <f t="shared" ref="G23:H23" si="6">SUM(G4,G6,G8,G10)</f>
        <v>100</v>
      </c>
      <c r="H23" s="30">
        <f t="shared" si="6"/>
        <v>100</v>
      </c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30"/>
      <c r="B26" s="30"/>
      <c r="C26" s="30"/>
      <c r="D26" s="28" t="s">
        <v>97</v>
      </c>
      <c r="E26" s="28" t="s">
        <v>98</v>
      </c>
      <c r="F26" s="30"/>
      <c r="G26" s="28" t="s">
        <v>99</v>
      </c>
      <c r="H26" s="28" t="s">
        <v>100</v>
      </c>
      <c r="I26" s="28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46"/>
      <c r="B27" s="46"/>
      <c r="C27" s="46"/>
      <c r="D27" s="47" t="b">
        <f>EQ(D23,B23)</f>
        <v>1</v>
      </c>
      <c r="E27" s="48" t="b">
        <f>eq(sum(E4:E17),100)</f>
        <v>0</v>
      </c>
      <c r="F27" s="46"/>
      <c r="G27" s="30" t="b">
        <f t="shared" ref="G27:H27" si="7">eq(sum(G4:G17),100)</f>
        <v>1</v>
      </c>
      <c r="H27" s="47" t="b">
        <f t="shared" si="7"/>
        <v>1</v>
      </c>
      <c r="I27" s="47"/>
      <c r="J27" s="47"/>
      <c r="K27" s="47"/>
      <c r="L27" s="47">
        <f>round(SUM(L4:L26),2)</f>
        <v>1.9</v>
      </c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>
      <c r="A28" s="30"/>
      <c r="B28" s="30"/>
      <c r="C28" s="30"/>
      <c r="D28" s="28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30"/>
      <c r="B30" s="30"/>
      <c r="C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30"/>
      <c r="B39" s="30"/>
      <c r="C39" s="30"/>
      <c r="D39" s="30"/>
      <c r="E39" s="30"/>
      <c r="F39" s="28">
        <f>100-F15</f>
        <v>100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</row>
  </sheetData>
  <mergeCells count="1">
    <mergeCell ref="N4:N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0.88"/>
    <col customWidth="1" min="3" max="3" width="15.5"/>
    <col customWidth="1" min="4" max="4" width="19.25"/>
    <col customWidth="1" min="5" max="5" width="15.75"/>
    <col customWidth="1" min="6" max="6" width="13.88"/>
    <col customWidth="1" min="7" max="7" width="20.38"/>
    <col customWidth="1" min="8" max="8" width="15.75"/>
    <col customWidth="1" min="9" max="9" width="24.88"/>
    <col customWidth="1" min="10" max="10" width="6.25"/>
    <col customWidth="1" min="11" max="11" width="15.88"/>
    <col customWidth="1" min="13" max="13" width="23.5"/>
  </cols>
  <sheetData>
    <row r="1">
      <c r="A1" s="25"/>
      <c r="B1" s="25"/>
      <c r="C1" s="25"/>
      <c r="D1" s="25"/>
      <c r="E1" s="49" t="s">
        <v>101</v>
      </c>
      <c r="F1" s="25"/>
      <c r="G1" s="25"/>
      <c r="H1" s="50" t="s">
        <v>102</v>
      </c>
      <c r="I1" s="51" t="s">
        <v>103</v>
      </c>
      <c r="J1" s="25"/>
      <c r="K1" s="25"/>
      <c r="L1" s="25"/>
      <c r="M1" s="51" t="s">
        <v>104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26"/>
      <c r="B3" s="26" t="s">
        <v>84</v>
      </c>
      <c r="C3" s="26" t="s">
        <v>85</v>
      </c>
      <c r="D3" s="26" t="s">
        <v>86</v>
      </c>
      <c r="E3" s="26" t="s">
        <v>87</v>
      </c>
      <c r="F3" s="25"/>
      <c r="G3" s="26" t="s">
        <v>88</v>
      </c>
      <c r="H3" s="26" t="s">
        <v>89</v>
      </c>
      <c r="I3" s="26" t="s">
        <v>90</v>
      </c>
      <c r="J3" s="26"/>
      <c r="K3" s="26" t="s">
        <v>91</v>
      </c>
      <c r="L3" s="25"/>
      <c r="M3" s="26" t="s">
        <v>92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>
      <c r="A4" s="52"/>
      <c r="B4" s="53">
        <v>344415.3652619</v>
      </c>
      <c r="C4" s="54">
        <v>1.0</v>
      </c>
      <c r="D4" s="53">
        <v>132581.2261001</v>
      </c>
      <c r="E4" s="55">
        <f t="shared" ref="E4:E10" si="1">round(round((D4/$B$24),7)*100,7)</f>
        <v>52.13531</v>
      </c>
      <c r="F4" s="52"/>
      <c r="G4" s="55">
        <v>50.0</v>
      </c>
      <c r="H4" s="56">
        <f t="shared" ref="H4:H10" si="2">(G4*100/$F$40)</f>
        <v>50</v>
      </c>
      <c r="I4" s="57">
        <f t="shared" ref="I4:I10" si="3">(E4-H4)</f>
        <v>2.13531</v>
      </c>
      <c r="J4" s="52"/>
      <c r="K4" s="52">
        <f t="shared" ref="K4:K10" si="4">ABS(I4)</f>
        <v>2.13531</v>
      </c>
      <c r="L4" s="52"/>
      <c r="M4" s="58">
        <f>DIVIDE(K28,2)</f>
        <v>2</v>
      </c>
      <c r="N4" s="52"/>
      <c r="O4" s="52"/>
      <c r="P4" s="52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>
      <c r="A5" s="52"/>
      <c r="B5" s="59">
        <f t="shared" ref="B5:B10" si="5">B4</f>
        <v>344415.3653</v>
      </c>
      <c r="C5" s="54">
        <v>2.0</v>
      </c>
      <c r="D5" s="40">
        <v>131887.8748118</v>
      </c>
      <c r="E5" s="55">
        <f t="shared" si="1"/>
        <v>51.86266</v>
      </c>
      <c r="F5" s="52"/>
      <c r="G5" s="60">
        <v>50.0</v>
      </c>
      <c r="H5" s="56">
        <f t="shared" si="2"/>
        <v>50</v>
      </c>
      <c r="I5" s="61">
        <f t="shared" si="3"/>
        <v>1.86266</v>
      </c>
      <c r="J5" s="52"/>
      <c r="K5" s="52">
        <f t="shared" si="4"/>
        <v>1.86266</v>
      </c>
      <c r="L5" s="52"/>
      <c r="M5" s="36"/>
      <c r="N5" s="52"/>
      <c r="O5" s="52"/>
      <c r="P5" s="52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62"/>
      <c r="B6" s="59">
        <f t="shared" si="5"/>
        <v>344415.3653</v>
      </c>
      <c r="C6" s="54">
        <v>3.0</v>
      </c>
      <c r="D6" s="37">
        <v>0.0</v>
      </c>
      <c r="E6" s="55">
        <f t="shared" si="1"/>
        <v>0</v>
      </c>
      <c r="F6" s="52"/>
      <c r="G6" s="55">
        <v>0.0</v>
      </c>
      <c r="H6" s="56">
        <f t="shared" si="2"/>
        <v>0</v>
      </c>
      <c r="I6" s="61">
        <f t="shared" si="3"/>
        <v>0</v>
      </c>
      <c r="J6" s="52"/>
      <c r="K6" s="52">
        <f t="shared" si="4"/>
        <v>0</v>
      </c>
      <c r="L6" s="52"/>
      <c r="M6" s="36"/>
      <c r="N6" s="52"/>
      <c r="O6" s="52"/>
      <c r="P6" s="52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63"/>
      <c r="B7" s="59">
        <f t="shared" si="5"/>
        <v>344415.3653</v>
      </c>
      <c r="C7" s="54">
        <v>4.0</v>
      </c>
      <c r="D7" s="37"/>
      <c r="E7" s="55">
        <f t="shared" si="1"/>
        <v>0</v>
      </c>
      <c r="F7" s="52"/>
      <c r="G7" s="60">
        <v>0.0</v>
      </c>
      <c r="H7" s="56">
        <f t="shared" si="2"/>
        <v>0</v>
      </c>
      <c r="I7" s="61">
        <f t="shared" si="3"/>
        <v>0</v>
      </c>
      <c r="J7" s="52"/>
      <c r="K7" s="52">
        <f t="shared" si="4"/>
        <v>0</v>
      </c>
      <c r="L7" s="52"/>
      <c r="M7" s="36"/>
      <c r="N7" s="52"/>
      <c r="O7" s="52"/>
      <c r="P7" s="52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63"/>
      <c r="B8" s="59">
        <f t="shared" si="5"/>
        <v>344415.3653</v>
      </c>
      <c r="C8" s="54">
        <v>5.0</v>
      </c>
      <c r="D8" s="64"/>
      <c r="E8" s="55">
        <f t="shared" si="1"/>
        <v>0</v>
      </c>
      <c r="F8" s="52"/>
      <c r="G8" s="55">
        <v>0.0</v>
      </c>
      <c r="H8" s="56">
        <f t="shared" si="2"/>
        <v>0</v>
      </c>
      <c r="I8" s="61">
        <f t="shared" si="3"/>
        <v>0</v>
      </c>
      <c r="J8" s="52"/>
      <c r="K8" s="52">
        <f t="shared" si="4"/>
        <v>0</v>
      </c>
      <c r="L8" s="52"/>
      <c r="M8" s="36"/>
      <c r="N8" s="52"/>
      <c r="O8" s="52"/>
      <c r="P8" s="52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63"/>
      <c r="B9" s="59">
        <f t="shared" si="5"/>
        <v>344415.3653</v>
      </c>
      <c r="C9" s="54">
        <v>6.0</v>
      </c>
      <c r="D9" s="56"/>
      <c r="E9" s="55">
        <f t="shared" si="1"/>
        <v>0</v>
      </c>
      <c r="F9" s="52"/>
      <c r="G9" s="65"/>
      <c r="H9" s="56">
        <f t="shared" si="2"/>
        <v>0</v>
      </c>
      <c r="I9" s="61">
        <f t="shared" si="3"/>
        <v>0</v>
      </c>
      <c r="J9" s="52"/>
      <c r="K9" s="52">
        <f t="shared" si="4"/>
        <v>0</v>
      </c>
      <c r="L9" s="52"/>
      <c r="M9" s="36"/>
      <c r="N9" s="52"/>
      <c r="O9" s="52"/>
      <c r="P9" s="52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63"/>
      <c r="B10" s="59">
        <f t="shared" si="5"/>
        <v>344415.3653</v>
      </c>
      <c r="C10" s="54">
        <v>7.0</v>
      </c>
      <c r="D10" s="64">
        <v>0.0</v>
      </c>
      <c r="E10" s="55">
        <f t="shared" si="1"/>
        <v>0</v>
      </c>
      <c r="F10" s="52"/>
      <c r="G10" s="55">
        <v>0.0</v>
      </c>
      <c r="H10" s="56">
        <f t="shared" si="2"/>
        <v>0</v>
      </c>
      <c r="I10" s="66">
        <f t="shared" si="3"/>
        <v>0</v>
      </c>
      <c r="J10" s="52"/>
      <c r="K10" s="52">
        <f t="shared" si="4"/>
        <v>0</v>
      </c>
      <c r="L10" s="52"/>
      <c r="M10" s="38"/>
      <c r="N10" s="52"/>
      <c r="O10" s="52"/>
      <c r="P10" s="52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63"/>
      <c r="B11" s="63"/>
      <c r="C11" s="52"/>
      <c r="D11" s="56"/>
      <c r="E11" s="52"/>
      <c r="F11" s="52"/>
      <c r="G11" s="52"/>
      <c r="H11" s="52"/>
      <c r="I11" s="52"/>
      <c r="J11" s="52"/>
      <c r="K11" s="52"/>
      <c r="L11" s="52"/>
      <c r="M11" s="67"/>
      <c r="N11" s="52"/>
      <c r="O11" s="52"/>
      <c r="P11" s="52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52"/>
      <c r="B12" s="56"/>
      <c r="C12" s="52"/>
      <c r="D12" s="56"/>
      <c r="E12" s="52"/>
      <c r="F12" s="52"/>
      <c r="G12" s="52"/>
      <c r="H12" s="52"/>
      <c r="I12" s="52"/>
      <c r="J12" s="52"/>
      <c r="K12" s="52"/>
      <c r="L12" s="52"/>
      <c r="M12" s="67"/>
      <c r="N12" s="52"/>
      <c r="O12" s="52"/>
      <c r="P12" s="52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63" t="s">
        <v>93</v>
      </c>
      <c r="B13" s="68">
        <v>0.0</v>
      </c>
      <c r="C13" s="52"/>
      <c r="D13" s="55"/>
      <c r="E13" s="52"/>
      <c r="F13" s="52"/>
      <c r="G13" s="52"/>
      <c r="H13" s="52"/>
      <c r="I13" s="52"/>
      <c r="J13" s="52"/>
      <c r="K13" s="52"/>
      <c r="L13" s="52"/>
      <c r="M13" s="67"/>
      <c r="N13" s="52"/>
      <c r="O13" s="52"/>
      <c r="P13" s="52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52"/>
      <c r="B14" s="69"/>
      <c r="C14" s="52"/>
      <c r="D14" s="56"/>
      <c r="E14" s="52"/>
      <c r="F14" s="70" t="s">
        <v>94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63"/>
      <c r="B15" s="37">
        <v>0.0</v>
      </c>
      <c r="C15" s="52"/>
      <c r="D15" s="56"/>
      <c r="E15" s="52"/>
      <c r="F15" s="71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63" t="s">
        <v>95</v>
      </c>
      <c r="B16" s="40">
        <v>90113.2</v>
      </c>
      <c r="C16" s="52"/>
      <c r="D16" s="56"/>
      <c r="E16" s="52"/>
      <c r="F16" s="71">
        <v>0.0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52"/>
      <c r="B17" s="72"/>
      <c r="C17" s="52"/>
      <c r="D17" s="56"/>
      <c r="E17" s="52"/>
      <c r="F17" s="7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>
      <c r="A20" s="70" t="s">
        <v>96</v>
      </c>
      <c r="B20" s="73">
        <f>SUM(B13,B16,B14,B15,B12,B17)</f>
        <v>90113.2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>
      <c r="A24" s="52"/>
      <c r="B24" s="74">
        <f>B5-B20</f>
        <v>254302.1653</v>
      </c>
      <c r="C24" s="52"/>
      <c r="D24" s="74">
        <f>sum(D4:D17)</f>
        <v>264469.1009</v>
      </c>
      <c r="E24" s="52">
        <f>sum(E4:E10)</f>
        <v>103.99797</v>
      </c>
      <c r="F24" s="52"/>
      <c r="G24" s="52">
        <f t="shared" ref="G24:H24" si="6">SUM(G4:G10)</f>
        <v>100</v>
      </c>
      <c r="H24" s="52">
        <f t="shared" si="6"/>
        <v>100</v>
      </c>
      <c r="I24" s="52"/>
      <c r="J24" s="52"/>
      <c r="K24" s="52"/>
      <c r="L24" s="52"/>
      <c r="M24" s="52"/>
      <c r="N24" s="52"/>
      <c r="O24" s="52"/>
      <c r="P24" s="52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>
      <c r="A27" s="52"/>
      <c r="B27" s="52"/>
      <c r="C27" s="52"/>
      <c r="D27" s="54" t="s">
        <v>97</v>
      </c>
      <c r="E27" s="54" t="s">
        <v>98</v>
      </c>
      <c r="F27" s="52"/>
      <c r="G27" s="54" t="s">
        <v>99</v>
      </c>
      <c r="H27" s="54" t="s">
        <v>100</v>
      </c>
      <c r="I27" s="52"/>
      <c r="J27" s="52"/>
      <c r="K27" s="52"/>
      <c r="L27" s="52"/>
      <c r="M27" s="52"/>
      <c r="N27" s="52"/>
      <c r="O27" s="52"/>
      <c r="P27" s="52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>
      <c r="A28" s="75"/>
      <c r="B28" s="75"/>
      <c r="C28" s="75"/>
      <c r="D28" s="52" t="b">
        <f>EQ(D24,B24)</f>
        <v>0</v>
      </c>
      <c r="E28" s="76" t="b">
        <f>eq(sum(E4:E18),100)</f>
        <v>0</v>
      </c>
      <c r="F28" s="75"/>
      <c r="G28" s="52" t="b">
        <f t="shared" ref="G28:H28" si="7">eq(sum(G4:G18),100)</f>
        <v>1</v>
      </c>
      <c r="H28" s="75" t="b">
        <f t="shared" si="7"/>
        <v>1</v>
      </c>
      <c r="I28" s="75"/>
      <c r="J28" s="75"/>
      <c r="K28" s="75">
        <f> round(SUM(K4:K27),2)</f>
        <v>4</v>
      </c>
      <c r="L28" s="75"/>
      <c r="M28" s="75"/>
      <c r="N28" s="75"/>
      <c r="O28" s="75"/>
      <c r="P28" s="75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>
      <c r="A29" s="52"/>
      <c r="B29" s="52"/>
      <c r="C29" s="52"/>
      <c r="D29" s="54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>
      <c r="A40" s="52"/>
      <c r="B40" s="52"/>
      <c r="C40" s="52"/>
      <c r="D40" s="52"/>
      <c r="E40" s="52"/>
      <c r="F40" s="55">
        <f>100-SUM(F16,F15,F17)</f>
        <v>100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</row>
  </sheetData>
  <mergeCells count="1">
    <mergeCell ref="M4:M1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0.88"/>
    <col customWidth="1" min="3" max="3" width="15.5"/>
    <col customWidth="1" min="4" max="4" width="19.25"/>
    <col customWidth="1" min="5" max="5" width="15.75"/>
    <col customWidth="1" min="6" max="6" width="13.88"/>
    <col customWidth="1" min="7" max="7" width="20.38"/>
    <col customWidth="1" min="8" max="8" width="15.75"/>
    <col customWidth="1" min="9" max="9" width="24.88"/>
    <col customWidth="1" min="10" max="10" width="6.25"/>
    <col customWidth="1" min="11" max="11" width="15.88"/>
    <col customWidth="1" min="13" max="13" width="23.5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>
      <c r="A3" s="26"/>
      <c r="B3" s="26" t="s">
        <v>84</v>
      </c>
      <c r="C3" s="26" t="s">
        <v>85</v>
      </c>
      <c r="D3" s="26" t="s">
        <v>86</v>
      </c>
      <c r="E3" s="26" t="s">
        <v>87</v>
      </c>
      <c r="F3" s="25"/>
      <c r="G3" s="26" t="s">
        <v>88</v>
      </c>
      <c r="H3" s="26" t="s">
        <v>89</v>
      </c>
      <c r="I3" s="26" t="s">
        <v>90</v>
      </c>
      <c r="J3" s="26"/>
      <c r="K3" s="26" t="s">
        <v>91</v>
      </c>
      <c r="L3" s="25"/>
      <c r="M3" s="26" t="s">
        <v>92</v>
      </c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>
      <c r="A4" s="52"/>
      <c r="B4" s="27">
        <v>1069583.3329323</v>
      </c>
      <c r="C4" s="54">
        <v>1.0</v>
      </c>
      <c r="D4" s="53">
        <v>342132.5148483</v>
      </c>
      <c r="E4" s="69">
        <f t="shared" ref="E4:E10" si="1">(D4/$B$24)*100</f>
        <v>41.55844125</v>
      </c>
      <c r="F4" s="52"/>
      <c r="G4" s="55">
        <v>32.0</v>
      </c>
      <c r="H4" s="56">
        <f t="shared" ref="H4:H10" si="2">(G4*100/$F$40)</f>
        <v>41.55844156</v>
      </c>
      <c r="I4" s="57">
        <f t="shared" ref="I4:I10" si="3">(E4-H4)</f>
        <v>-0.000000306345207</v>
      </c>
      <c r="J4" s="52"/>
      <c r="K4" s="52">
        <f t="shared" ref="K4:K10" si="4">ABS(I4)</f>
        <v>0.000000306345207</v>
      </c>
      <c r="L4" s="52"/>
      <c r="M4" s="58">
        <f>DIVIDE(K28,2)</f>
        <v>0.0000004210870443</v>
      </c>
      <c r="N4" s="52"/>
      <c r="O4" s="52"/>
      <c r="P4" s="52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>
      <c r="A5" s="52"/>
      <c r="B5" s="59">
        <f t="shared" ref="B5:B10" si="5">B4</f>
        <v>1069583.333</v>
      </c>
      <c r="C5" s="54">
        <v>2.0</v>
      </c>
      <c r="D5" s="40">
        <v>203141.181244</v>
      </c>
      <c r="E5" s="69">
        <f t="shared" si="1"/>
        <v>24.67532456</v>
      </c>
      <c r="F5" s="52"/>
      <c r="G5" s="60">
        <v>19.0</v>
      </c>
      <c r="H5" s="56">
        <f t="shared" si="2"/>
        <v>24.67532468</v>
      </c>
      <c r="I5" s="61">
        <f t="shared" si="3"/>
        <v>-0.0000001147418303</v>
      </c>
      <c r="J5" s="52"/>
      <c r="K5" s="52">
        <f t="shared" si="4"/>
        <v>0.0000001147418303</v>
      </c>
      <c r="L5" s="52"/>
      <c r="M5" s="36"/>
      <c r="N5" s="52"/>
      <c r="O5" s="52"/>
      <c r="P5" s="52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62"/>
      <c r="B6" s="59">
        <f t="shared" si="5"/>
        <v>1069583.333</v>
      </c>
      <c r="C6" s="54">
        <v>3.0</v>
      </c>
      <c r="D6" s="40">
        <v>277982.67383</v>
      </c>
      <c r="E6" s="69">
        <f t="shared" si="1"/>
        <v>33.76623419</v>
      </c>
      <c r="F6" s="52"/>
      <c r="G6" s="55">
        <v>26.0</v>
      </c>
      <c r="H6" s="56">
        <f t="shared" si="2"/>
        <v>33.76623377</v>
      </c>
      <c r="I6" s="61">
        <f t="shared" si="3"/>
        <v>0.0000004210870514</v>
      </c>
      <c r="J6" s="52"/>
      <c r="K6" s="52">
        <f t="shared" si="4"/>
        <v>0.0000004210870514</v>
      </c>
      <c r="L6" s="52"/>
      <c r="M6" s="36"/>
      <c r="N6" s="52"/>
      <c r="O6" s="52"/>
      <c r="P6" s="52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63"/>
      <c r="B7" s="59">
        <f t="shared" si="5"/>
        <v>1069583.333</v>
      </c>
      <c r="C7" s="54">
        <v>4.0</v>
      </c>
      <c r="D7" s="37">
        <v>0.0</v>
      </c>
      <c r="E7" s="69">
        <f t="shared" si="1"/>
        <v>0</v>
      </c>
      <c r="F7" s="52"/>
      <c r="G7" s="60">
        <v>0.0</v>
      </c>
      <c r="H7" s="56">
        <f t="shared" si="2"/>
        <v>0</v>
      </c>
      <c r="I7" s="61">
        <f t="shared" si="3"/>
        <v>0</v>
      </c>
      <c r="J7" s="52"/>
      <c r="K7" s="52">
        <f t="shared" si="4"/>
        <v>0</v>
      </c>
      <c r="L7" s="52"/>
      <c r="M7" s="36"/>
      <c r="N7" s="52"/>
      <c r="O7" s="52"/>
      <c r="P7" s="52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63"/>
      <c r="B8" s="59">
        <f t="shared" si="5"/>
        <v>1069583.333</v>
      </c>
      <c r="C8" s="54">
        <v>5.0</v>
      </c>
      <c r="D8" s="64"/>
      <c r="E8" s="69">
        <f t="shared" si="1"/>
        <v>0</v>
      </c>
      <c r="F8" s="52"/>
      <c r="G8" s="55">
        <v>0.0</v>
      </c>
      <c r="H8" s="56">
        <f t="shared" si="2"/>
        <v>0</v>
      </c>
      <c r="I8" s="61">
        <f t="shared" si="3"/>
        <v>0</v>
      </c>
      <c r="J8" s="52"/>
      <c r="K8" s="52">
        <f t="shared" si="4"/>
        <v>0</v>
      </c>
      <c r="L8" s="52"/>
      <c r="M8" s="36"/>
      <c r="N8" s="52"/>
      <c r="O8" s="52"/>
      <c r="P8" s="52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63"/>
      <c r="B9" s="59">
        <f t="shared" si="5"/>
        <v>1069583.333</v>
      </c>
      <c r="C9" s="54">
        <v>6.0</v>
      </c>
      <c r="D9" s="56"/>
      <c r="E9" s="69">
        <f t="shared" si="1"/>
        <v>0</v>
      </c>
      <c r="F9" s="52"/>
      <c r="G9" s="65"/>
      <c r="H9" s="56">
        <f t="shared" si="2"/>
        <v>0</v>
      </c>
      <c r="I9" s="61">
        <f t="shared" si="3"/>
        <v>0</v>
      </c>
      <c r="J9" s="52"/>
      <c r="K9" s="52">
        <f t="shared" si="4"/>
        <v>0</v>
      </c>
      <c r="L9" s="52"/>
      <c r="M9" s="36"/>
      <c r="N9" s="52"/>
      <c r="O9" s="52"/>
      <c r="P9" s="52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63"/>
      <c r="B10" s="59">
        <f t="shared" si="5"/>
        <v>1069583.333</v>
      </c>
      <c r="C10" s="54">
        <v>7.0</v>
      </c>
      <c r="D10" s="64">
        <v>0.0</v>
      </c>
      <c r="E10" s="69">
        <f t="shared" si="1"/>
        <v>0</v>
      </c>
      <c r="F10" s="52"/>
      <c r="G10" s="55">
        <v>0.0</v>
      </c>
      <c r="H10" s="56">
        <f t="shared" si="2"/>
        <v>0</v>
      </c>
      <c r="I10" s="66">
        <f t="shared" si="3"/>
        <v>0</v>
      </c>
      <c r="J10" s="52"/>
      <c r="K10" s="52">
        <f t="shared" si="4"/>
        <v>0</v>
      </c>
      <c r="L10" s="52"/>
      <c r="M10" s="38"/>
      <c r="N10" s="52"/>
      <c r="O10" s="52"/>
      <c r="P10" s="52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63"/>
      <c r="B11" s="63"/>
      <c r="C11" s="52"/>
      <c r="D11" s="56"/>
      <c r="E11" s="52"/>
      <c r="F11" s="52"/>
      <c r="G11" s="52"/>
      <c r="H11" s="52"/>
      <c r="I11" s="52"/>
      <c r="J11" s="52"/>
      <c r="K11" s="52"/>
      <c r="L11" s="52"/>
      <c r="M11" s="67"/>
      <c r="N11" s="52"/>
      <c r="O11" s="52"/>
      <c r="P11" s="52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52"/>
      <c r="B12" s="37">
        <v>0.0</v>
      </c>
      <c r="C12" s="52"/>
      <c r="D12" s="56"/>
      <c r="E12" s="52"/>
      <c r="F12" s="52"/>
      <c r="G12" s="52"/>
      <c r="H12" s="52"/>
      <c r="I12" s="52"/>
      <c r="J12" s="52"/>
      <c r="K12" s="52"/>
      <c r="L12" s="52"/>
      <c r="M12" s="67"/>
      <c r="N12" s="52"/>
      <c r="O12" s="52"/>
      <c r="P12" s="52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63" t="s">
        <v>93</v>
      </c>
      <c r="B13" s="37"/>
      <c r="C13" s="52"/>
      <c r="D13" s="55"/>
      <c r="E13" s="52"/>
      <c r="F13" s="52"/>
      <c r="G13" s="52"/>
      <c r="H13" s="52"/>
      <c r="I13" s="52"/>
      <c r="J13" s="52"/>
      <c r="K13" s="52"/>
      <c r="L13" s="52"/>
      <c r="M13" s="67"/>
      <c r="N13" s="52"/>
      <c r="O13" s="52"/>
      <c r="P13" s="52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52"/>
      <c r="B14" s="40">
        <v>246326.96301</v>
      </c>
      <c r="C14" s="52"/>
      <c r="D14" s="56"/>
      <c r="E14" s="52"/>
      <c r="F14" s="70" t="s">
        <v>94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63"/>
      <c r="B15" s="37">
        <v>0.0</v>
      </c>
      <c r="C15" s="52"/>
      <c r="D15" s="56"/>
      <c r="E15" s="52"/>
      <c r="F15" s="71">
        <v>23.0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63" t="s">
        <v>95</v>
      </c>
      <c r="B16" s="68">
        <v>0.0</v>
      </c>
      <c r="C16" s="52"/>
      <c r="D16" s="56"/>
      <c r="E16" s="52"/>
      <c r="F16" s="71">
        <v>0.0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52"/>
      <c r="B17" s="72"/>
      <c r="C17" s="52"/>
      <c r="D17" s="56"/>
      <c r="E17" s="52"/>
      <c r="F17" s="71">
        <v>0.0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4"/>
      <c r="M19" s="52"/>
      <c r="N19" s="52"/>
      <c r="O19" s="52"/>
      <c r="P19" s="52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>
      <c r="A20" s="70" t="s">
        <v>96</v>
      </c>
      <c r="B20" s="73">
        <f>SUM(B13,B16,B14,B15,B12,B17)</f>
        <v>246326.963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>
      <c r="A24" s="52"/>
      <c r="B24" s="74">
        <f>B5-B20</f>
        <v>823256.3699</v>
      </c>
      <c r="C24" s="52"/>
      <c r="D24" s="74">
        <f>sum(D4:D17)</f>
        <v>823256.3699</v>
      </c>
      <c r="E24" s="52">
        <f>sum(E4:E10)</f>
        <v>100</v>
      </c>
      <c r="F24" s="52"/>
      <c r="G24" s="52">
        <f t="shared" ref="G24:H24" si="6">SUM(G4:G10)</f>
        <v>77</v>
      </c>
      <c r="H24" s="52">
        <f t="shared" si="6"/>
        <v>100</v>
      </c>
      <c r="I24" s="52"/>
      <c r="J24" s="52"/>
      <c r="K24" s="52"/>
      <c r="L24" s="52"/>
      <c r="M24" s="52"/>
      <c r="N24" s="52"/>
      <c r="O24" s="52"/>
      <c r="P24" s="52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>
      <c r="A27" s="52"/>
      <c r="B27" s="52"/>
      <c r="C27" s="52"/>
      <c r="D27" s="54" t="s">
        <v>97</v>
      </c>
      <c r="E27" s="54" t="s">
        <v>98</v>
      </c>
      <c r="F27" s="52"/>
      <c r="G27" s="54" t="s">
        <v>99</v>
      </c>
      <c r="H27" s="54" t="s">
        <v>100</v>
      </c>
      <c r="I27" s="52"/>
      <c r="J27" s="52"/>
      <c r="K27" s="52"/>
      <c r="L27" s="52"/>
      <c r="M27" s="52"/>
      <c r="N27" s="52"/>
      <c r="O27" s="52"/>
      <c r="P27" s="52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>
      <c r="A28" s="75"/>
      <c r="B28" s="75"/>
      <c r="C28" s="75"/>
      <c r="D28" s="52" t="b">
        <f>EQ(D24,B24)</f>
        <v>1</v>
      </c>
      <c r="E28" s="76" t="b">
        <f>eq(sum(E4:E18),100)</f>
        <v>1</v>
      </c>
      <c r="F28" s="75"/>
      <c r="G28" s="52" t="b">
        <f t="shared" ref="G28:H28" si="7">eq(sum(G4:G18),100)</f>
        <v>0</v>
      </c>
      <c r="H28" s="52" t="b">
        <f t="shared" si="7"/>
        <v>1</v>
      </c>
      <c r="I28" s="75"/>
      <c r="J28" s="75"/>
      <c r="K28" s="75">
        <f> SUM(K4:K27)</f>
        <v>0.0000008421740887</v>
      </c>
      <c r="L28" s="75"/>
      <c r="M28" s="75"/>
      <c r="N28" s="75"/>
      <c r="O28" s="75"/>
      <c r="P28" s="75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</row>
    <row r="29">
      <c r="A29" s="52"/>
      <c r="B29" s="52"/>
      <c r="C29" s="52"/>
      <c r="D29" s="54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>
      <c r="A40" s="52"/>
      <c r="B40" s="52"/>
      <c r="C40" s="52"/>
      <c r="D40" s="52"/>
      <c r="E40" s="52"/>
      <c r="F40" s="55">
        <f>100-SUM(F16,F15,F17)</f>
        <v>77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</row>
  </sheetData>
  <mergeCells count="1">
    <mergeCell ref="M4:M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20.88"/>
    <col customWidth="1" min="3" max="3" width="15.5"/>
    <col customWidth="1" min="4" max="5" width="19.25"/>
    <col customWidth="1" min="6" max="6" width="15.75"/>
    <col customWidth="1" min="7" max="7" width="13.88"/>
    <col customWidth="1" min="8" max="8" width="20.38"/>
    <col customWidth="1" min="9" max="9" width="15.75"/>
    <col customWidth="1" min="10" max="10" width="13.5"/>
    <col customWidth="1" min="11" max="11" width="10.25"/>
    <col customWidth="1" min="12" max="12" width="15.88"/>
    <col customWidth="1" min="13" max="13" width="4.25"/>
    <col customWidth="1" min="14" max="14" width="23.5"/>
  </cols>
  <sheetData>
    <row r="1">
      <c r="A1" s="77"/>
      <c r="B1" s="77"/>
      <c r="C1" s="77"/>
      <c r="D1" s="77"/>
      <c r="E1" s="77"/>
      <c r="F1" s="78" t="s">
        <v>105</v>
      </c>
      <c r="G1" s="77"/>
      <c r="H1" s="77"/>
      <c r="I1" s="77"/>
      <c r="J1" s="79" t="s">
        <v>106</v>
      </c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26"/>
      <c r="B3" s="26" t="s">
        <v>84</v>
      </c>
      <c r="C3" s="26" t="s">
        <v>85</v>
      </c>
      <c r="D3" s="26"/>
      <c r="E3" s="26" t="s">
        <v>86</v>
      </c>
      <c r="F3" s="26" t="s">
        <v>87</v>
      </c>
      <c r="G3" s="25"/>
      <c r="H3" s="26" t="s">
        <v>88</v>
      </c>
      <c r="I3" s="26" t="s">
        <v>89</v>
      </c>
      <c r="J3" s="26" t="s">
        <v>90</v>
      </c>
      <c r="K3" s="26"/>
      <c r="L3" s="26" t="s">
        <v>91</v>
      </c>
      <c r="M3" s="25"/>
      <c r="N3" s="26" t="s">
        <v>92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52"/>
      <c r="B4" s="27">
        <v>69958.86168</v>
      </c>
      <c r="C4" s="54">
        <v>1.0</v>
      </c>
      <c r="D4" s="40">
        <v>15888.03</v>
      </c>
      <c r="E4" s="53">
        <f t="shared" ref="E4:E10" si="1">D4</f>
        <v>15888.03</v>
      </c>
      <c r="F4" s="69">
        <f t="shared" ref="F4:F10" si="2">round(round((E4/$B$31),7)*100,7)</f>
        <v>34.57011</v>
      </c>
      <c r="G4" s="52"/>
      <c r="H4" s="40">
        <v>38.99</v>
      </c>
      <c r="I4" s="56">
        <f t="shared" ref="I4:I10" si="3">(H4*100/$G$47)</f>
        <v>38.99</v>
      </c>
      <c r="J4" s="57">
        <f t="shared" ref="J4:J10" si="4">round((F4-I4),2)</f>
        <v>-4.42</v>
      </c>
      <c r="K4" s="52">
        <f t="shared" ref="K4:K10" si="5">(F4-I4)</f>
        <v>-4.41989</v>
      </c>
      <c r="L4" s="52">
        <f t="shared" ref="L4:L10" si="6">ABS(K4)</f>
        <v>4.41989</v>
      </c>
      <c r="M4" s="52"/>
      <c r="N4" s="58">
        <f>DIVIDE(L35,2)</f>
        <v>6.12</v>
      </c>
      <c r="O4" s="52"/>
      <c r="P4" s="52"/>
      <c r="Q4" s="52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52"/>
      <c r="B5" s="59">
        <f t="shared" ref="B5:B10" si="7">B4</f>
        <v>69958.86168</v>
      </c>
      <c r="C5" s="54">
        <v>2.0</v>
      </c>
      <c r="D5" s="40">
        <v>15205.58168</v>
      </c>
      <c r="E5" s="53">
        <f t="shared" si="1"/>
        <v>15205.58168</v>
      </c>
      <c r="F5" s="69">
        <f t="shared" si="2"/>
        <v>33.0852</v>
      </c>
      <c r="G5" s="52"/>
      <c r="H5" s="60">
        <v>31.01</v>
      </c>
      <c r="I5" s="56">
        <f t="shared" si="3"/>
        <v>31.01</v>
      </c>
      <c r="J5" s="57">
        <f t="shared" si="4"/>
        <v>2.08</v>
      </c>
      <c r="K5" s="52">
        <f t="shared" si="5"/>
        <v>2.0752</v>
      </c>
      <c r="L5" s="52">
        <f t="shared" si="6"/>
        <v>2.0752</v>
      </c>
      <c r="M5" s="52"/>
      <c r="N5" s="36"/>
      <c r="O5" s="52"/>
      <c r="P5" s="52"/>
      <c r="Q5" s="52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62"/>
      <c r="B6" s="59">
        <f t="shared" si="7"/>
        <v>69958.86168</v>
      </c>
      <c r="C6" s="54">
        <v>3.0</v>
      </c>
      <c r="D6" s="40">
        <v>8752.91</v>
      </c>
      <c r="E6" s="53">
        <f t="shared" si="1"/>
        <v>8752.91</v>
      </c>
      <c r="F6" s="69">
        <f t="shared" si="2"/>
        <v>19.0451</v>
      </c>
      <c r="G6" s="52"/>
      <c r="H6" s="55">
        <v>15.0</v>
      </c>
      <c r="I6" s="56">
        <f t="shared" si="3"/>
        <v>15</v>
      </c>
      <c r="J6" s="57">
        <f t="shared" si="4"/>
        <v>4.05</v>
      </c>
      <c r="K6" s="52">
        <f t="shared" si="5"/>
        <v>4.0451</v>
      </c>
      <c r="L6" s="52">
        <f t="shared" si="6"/>
        <v>4.0451</v>
      </c>
      <c r="M6" s="52"/>
      <c r="N6" s="36"/>
      <c r="O6" s="52"/>
      <c r="P6" s="52"/>
      <c r="Q6" s="52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63"/>
      <c r="B7" s="59">
        <f t="shared" si="7"/>
        <v>69958.86168</v>
      </c>
      <c r="C7" s="54">
        <v>4.0</v>
      </c>
      <c r="D7" s="53">
        <v>6112.34</v>
      </c>
      <c r="E7" s="53">
        <f t="shared" si="1"/>
        <v>6112.34</v>
      </c>
      <c r="F7" s="69">
        <f t="shared" si="2"/>
        <v>13.29959</v>
      </c>
      <c r="G7" s="52"/>
      <c r="H7" s="60">
        <v>15.0</v>
      </c>
      <c r="I7" s="56">
        <f t="shared" si="3"/>
        <v>15</v>
      </c>
      <c r="J7" s="57">
        <f t="shared" si="4"/>
        <v>-1.7</v>
      </c>
      <c r="K7" s="52">
        <f t="shared" si="5"/>
        <v>-1.70041</v>
      </c>
      <c r="L7" s="52">
        <f t="shared" si="6"/>
        <v>1.70041</v>
      </c>
      <c r="M7" s="52"/>
      <c r="N7" s="36"/>
      <c r="O7" s="52"/>
      <c r="P7" s="52"/>
      <c r="Q7" s="52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63"/>
      <c r="B8" s="59">
        <f t="shared" si="7"/>
        <v>69958.86168</v>
      </c>
      <c r="C8" s="54">
        <v>5.0</v>
      </c>
      <c r="D8" s="64"/>
      <c r="E8" s="53" t="str">
        <f t="shared" si="1"/>
        <v/>
      </c>
      <c r="F8" s="69">
        <f t="shared" si="2"/>
        <v>0</v>
      </c>
      <c r="G8" s="52"/>
      <c r="H8" s="55">
        <v>0.0</v>
      </c>
      <c r="I8" s="56">
        <f t="shared" si="3"/>
        <v>0</v>
      </c>
      <c r="J8" s="57">
        <f t="shared" si="4"/>
        <v>0</v>
      </c>
      <c r="K8" s="52">
        <f t="shared" si="5"/>
        <v>0</v>
      </c>
      <c r="L8" s="52">
        <f t="shared" si="6"/>
        <v>0</v>
      </c>
      <c r="M8" s="52"/>
      <c r="N8" s="36"/>
      <c r="O8" s="52"/>
      <c r="P8" s="52"/>
      <c r="Q8" s="52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63"/>
      <c r="B9" s="59">
        <f t="shared" si="7"/>
        <v>69958.86168</v>
      </c>
      <c r="C9" s="54">
        <v>6.0</v>
      </c>
      <c r="D9" s="56"/>
      <c r="E9" s="53" t="str">
        <f t="shared" si="1"/>
        <v/>
      </c>
      <c r="F9" s="69">
        <f t="shared" si="2"/>
        <v>0</v>
      </c>
      <c r="G9" s="52"/>
      <c r="H9" s="65"/>
      <c r="I9" s="56">
        <f t="shared" si="3"/>
        <v>0</v>
      </c>
      <c r="J9" s="57">
        <f t="shared" si="4"/>
        <v>0</v>
      </c>
      <c r="K9" s="52">
        <f t="shared" si="5"/>
        <v>0</v>
      </c>
      <c r="L9" s="52">
        <f t="shared" si="6"/>
        <v>0</v>
      </c>
      <c r="M9" s="52"/>
      <c r="N9" s="36"/>
      <c r="O9" s="52"/>
      <c r="P9" s="52"/>
      <c r="Q9" s="52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63"/>
      <c r="B10" s="59">
        <f t="shared" si="7"/>
        <v>69958.86168</v>
      </c>
      <c r="C10" s="54">
        <v>7.0</v>
      </c>
      <c r="D10" s="64"/>
      <c r="E10" s="53" t="str">
        <f t="shared" si="1"/>
        <v/>
      </c>
      <c r="F10" s="69">
        <f t="shared" si="2"/>
        <v>0</v>
      </c>
      <c r="G10" s="52"/>
      <c r="H10" s="55">
        <v>0.0</v>
      </c>
      <c r="I10" s="56">
        <f t="shared" si="3"/>
        <v>0</v>
      </c>
      <c r="J10" s="57">
        <f t="shared" si="4"/>
        <v>0</v>
      </c>
      <c r="K10" s="52">
        <f t="shared" si="5"/>
        <v>0</v>
      </c>
      <c r="L10" s="52">
        <f t="shared" si="6"/>
        <v>0</v>
      </c>
      <c r="M10" s="52"/>
      <c r="N10" s="38"/>
      <c r="O10" s="52"/>
      <c r="P10" s="52"/>
      <c r="Q10" s="52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63"/>
      <c r="B11" s="63"/>
      <c r="C11" s="52"/>
      <c r="D11" s="56"/>
      <c r="E11" s="56"/>
      <c r="F11" s="52"/>
      <c r="G11" s="52"/>
      <c r="H11" s="52"/>
      <c r="I11" s="52"/>
      <c r="J11" s="52"/>
      <c r="K11" s="52"/>
      <c r="L11" s="52"/>
      <c r="M11" s="52"/>
      <c r="N11" s="67"/>
      <c r="O11" s="52"/>
      <c r="P11" s="52"/>
      <c r="Q11" s="52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63"/>
      <c r="B12" s="63"/>
      <c r="C12" s="52"/>
      <c r="D12" s="56"/>
      <c r="E12" s="56"/>
      <c r="F12" s="52"/>
      <c r="G12" s="52"/>
      <c r="H12" s="52"/>
      <c r="I12" s="52"/>
      <c r="J12" s="52"/>
      <c r="K12" s="52"/>
      <c r="L12" s="52"/>
      <c r="M12" s="52"/>
      <c r="N12" s="67"/>
      <c r="O12" s="52"/>
      <c r="P12" s="52"/>
      <c r="Q12" s="52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63"/>
      <c r="B13" s="63"/>
      <c r="C13" s="52"/>
      <c r="D13" s="56"/>
      <c r="E13" s="56"/>
      <c r="F13" s="52"/>
      <c r="G13" s="52"/>
      <c r="H13" s="52"/>
      <c r="I13" s="52"/>
      <c r="J13" s="52"/>
      <c r="K13" s="52"/>
      <c r="L13" s="52"/>
      <c r="M13" s="52"/>
      <c r="N13" s="67"/>
      <c r="O13" s="52"/>
      <c r="P13" s="52"/>
      <c r="Q13" s="52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52"/>
      <c r="B14" s="37">
        <v>0.0</v>
      </c>
      <c r="C14" s="52"/>
      <c r="D14" s="56"/>
      <c r="E14" s="56"/>
      <c r="F14" s="52"/>
      <c r="G14" s="52"/>
      <c r="H14" s="52"/>
      <c r="I14" s="52"/>
      <c r="J14" s="52"/>
      <c r="K14" s="52"/>
      <c r="L14" s="52"/>
      <c r="M14" s="52"/>
      <c r="N14" s="67"/>
      <c r="O14" s="52"/>
      <c r="P14" s="52"/>
      <c r="Q14" s="52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63" t="s">
        <v>93</v>
      </c>
      <c r="B15" s="40">
        <v>24000.0</v>
      </c>
      <c r="C15" s="52"/>
      <c r="D15" s="55"/>
      <c r="E15" s="55"/>
      <c r="F15" s="52"/>
      <c r="G15" s="52"/>
      <c r="H15" s="52"/>
      <c r="I15" s="52"/>
      <c r="J15" s="52"/>
      <c r="K15" s="52"/>
      <c r="L15" s="52"/>
      <c r="M15" s="52"/>
      <c r="N15" s="67"/>
      <c r="O15" s="52"/>
      <c r="P15" s="52"/>
      <c r="Q15" s="52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52"/>
      <c r="B16" s="40"/>
      <c r="C16" s="52"/>
      <c r="D16" s="56"/>
      <c r="E16" s="56"/>
      <c r="F16" s="52"/>
      <c r="G16" s="70" t="s">
        <v>94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63"/>
      <c r="B17" s="37">
        <v>0.0</v>
      </c>
      <c r="C17" s="52"/>
      <c r="D17" s="56"/>
      <c r="E17" s="56"/>
      <c r="F17" s="52"/>
      <c r="G17" s="71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63" t="s">
        <v>95</v>
      </c>
      <c r="B18" s="37">
        <v>0.0</v>
      </c>
      <c r="C18" s="52"/>
      <c r="D18" s="56"/>
      <c r="E18" s="56"/>
      <c r="F18" s="52"/>
      <c r="G18" s="71">
        <v>0.0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52"/>
      <c r="B19" s="80"/>
      <c r="C19" s="52"/>
      <c r="D19" s="56"/>
      <c r="E19" s="56"/>
      <c r="F19" s="52"/>
      <c r="G19" s="71">
        <v>0.0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81"/>
      <c r="B22" s="82">
        <v>0.0</v>
      </c>
      <c r="C22" s="8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84" t="s">
        <v>107</v>
      </c>
      <c r="B23" s="82">
        <v>0.0</v>
      </c>
      <c r="C23" s="85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86"/>
      <c r="B24" s="82">
        <v>0.0</v>
      </c>
      <c r="C24" s="85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87"/>
      <c r="B25" s="88"/>
      <c r="C25" s="89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4"/>
      <c r="N26" s="52"/>
      <c r="O26" s="52"/>
      <c r="P26" s="52"/>
      <c r="Q26" s="52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70" t="s">
        <v>96</v>
      </c>
      <c r="B27" s="73">
        <f>SUM(B15,B18,B16,B17,B14,B19)</f>
        <v>24000</v>
      </c>
      <c r="C27" s="90">
        <f>SUM(B22,B23,B24,B25)</f>
        <v>0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52"/>
      <c r="B31" s="74">
        <f>B5-B27</f>
        <v>45958.86168</v>
      </c>
      <c r="C31" s="52"/>
      <c r="D31" s="52"/>
      <c r="E31" s="74">
        <f>sum(E4:E19)</f>
        <v>45958.86168</v>
      </c>
      <c r="F31" s="52">
        <f>sum(F4:F10)</f>
        <v>100</v>
      </c>
      <c r="G31" s="52"/>
      <c r="H31" s="52">
        <f t="shared" ref="H31:I31" si="8">SUM(H4:H10)</f>
        <v>100</v>
      </c>
      <c r="I31" s="52">
        <f t="shared" si="8"/>
        <v>100</v>
      </c>
      <c r="J31" s="52"/>
      <c r="K31" s="52"/>
      <c r="L31" s="52"/>
      <c r="M31" s="52"/>
      <c r="N31" s="52"/>
      <c r="O31" s="52"/>
      <c r="P31" s="52"/>
      <c r="Q31" s="52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52"/>
      <c r="B34" s="52"/>
      <c r="C34" s="52"/>
      <c r="D34" s="54"/>
      <c r="E34" s="54" t="s">
        <v>97</v>
      </c>
      <c r="F34" s="54" t="s">
        <v>98</v>
      </c>
      <c r="G34" s="52"/>
      <c r="H34" s="54" t="s">
        <v>99</v>
      </c>
      <c r="I34" s="54" t="s">
        <v>100</v>
      </c>
      <c r="J34" s="52"/>
      <c r="K34" s="52"/>
      <c r="L34" s="52"/>
      <c r="M34" s="52"/>
      <c r="N34" s="52"/>
      <c r="O34" s="52"/>
      <c r="P34" s="52"/>
      <c r="Q34" s="52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75"/>
      <c r="B35" s="75"/>
      <c r="C35" s="75"/>
      <c r="D35" s="52"/>
      <c r="E35" s="52" t="b">
        <f>EQ(E31,B31)</f>
        <v>1</v>
      </c>
      <c r="F35" s="76" t="b">
        <f>eq(sum(F4:F25),100)</f>
        <v>1</v>
      </c>
      <c r="G35" s="75"/>
      <c r="H35" s="52" t="b">
        <f t="shared" ref="H35:I35" si="9">eq(sum(H4:H25),100)</f>
        <v>1</v>
      </c>
      <c r="I35" s="52" t="b">
        <f t="shared" si="9"/>
        <v>1</v>
      </c>
      <c r="J35" s="75"/>
      <c r="K35" s="75"/>
      <c r="L35" s="75">
        <f> round(SUM(L4:L34),2)</f>
        <v>12.24</v>
      </c>
      <c r="M35" s="75"/>
      <c r="N35" s="75"/>
      <c r="O35" s="75"/>
      <c r="P35" s="75"/>
      <c r="Q35" s="75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>
      <c r="A36" s="52"/>
      <c r="B36" s="52"/>
      <c r="C36" s="52"/>
      <c r="D36" s="54"/>
      <c r="E36" s="54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91"/>
      <c r="L37" s="92" t="s">
        <v>108</v>
      </c>
      <c r="M37" s="91"/>
      <c r="N37" s="91"/>
      <c r="O37" s="52"/>
      <c r="P37" s="52"/>
      <c r="Q37" s="52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52"/>
      <c r="B47" s="52"/>
      <c r="C47" s="52"/>
      <c r="D47" s="52"/>
      <c r="E47" s="52"/>
      <c r="F47" s="52"/>
      <c r="G47" s="55">
        <f>100-SUM(G18,G17,G19)</f>
        <v>100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</row>
    <row r="1008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</row>
    <row r="1009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</row>
    <row r="1010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</row>
    <row r="101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</row>
    <row r="1012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</row>
  </sheetData>
  <mergeCells count="1">
    <mergeCell ref="N4:N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6.63"/>
    <col customWidth="1" min="2" max="2" width="21.25"/>
    <col customWidth="1" min="3" max="3" width="15.63"/>
    <col customWidth="1" min="4" max="5" width="19.25"/>
    <col customWidth="1" min="6" max="6" width="15.75"/>
    <col customWidth="1" min="7" max="7" width="13.88"/>
    <col customWidth="1" min="8" max="8" width="20.38"/>
    <col customWidth="1" min="9" max="9" width="15.75"/>
    <col customWidth="1" min="10" max="10" width="24.88"/>
    <col customWidth="1" min="11" max="11" width="6.25"/>
    <col customWidth="1" min="12" max="12" width="15.88"/>
    <col customWidth="1" min="14" max="14" width="23.5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ht="38.25" customHeight="1">
      <c r="A3" s="26"/>
      <c r="B3" s="26" t="s">
        <v>84</v>
      </c>
      <c r="C3" s="26" t="s">
        <v>85</v>
      </c>
      <c r="D3" s="26"/>
      <c r="E3" s="26" t="s">
        <v>86</v>
      </c>
      <c r="F3" s="26" t="s">
        <v>87</v>
      </c>
      <c r="G3" s="25"/>
      <c r="H3" s="26" t="s">
        <v>88</v>
      </c>
      <c r="I3" s="26" t="s">
        <v>89</v>
      </c>
      <c r="J3" s="26" t="s">
        <v>90</v>
      </c>
      <c r="K3" s="26"/>
      <c r="L3" s="26" t="s">
        <v>91</v>
      </c>
      <c r="M3" s="25"/>
      <c r="N3" s="26" t="s">
        <v>92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52"/>
      <c r="B4" s="27">
        <v>94999.69305</v>
      </c>
      <c r="C4" s="54">
        <v>1.0</v>
      </c>
      <c r="D4" s="53">
        <v>47777.55747</v>
      </c>
      <c r="E4" s="29">
        <f>D4</f>
        <v>47777.55747</v>
      </c>
      <c r="F4" s="69">
        <f t="shared" ref="F4:F10" si="1">round(round((E4/$B$31),7)*100,7)</f>
        <v>68.25395</v>
      </c>
      <c r="G4" s="52"/>
      <c r="H4" s="37">
        <v>0.0</v>
      </c>
      <c r="I4" s="56" t="str">
        <f t="shared" ref="I4:I10" si="2">(H4*100/$G$47)</f>
        <v>#DIV/0!</v>
      </c>
      <c r="J4" s="57" t="str">
        <f t="shared" ref="J4:J10" si="3">(F4-I4)</f>
        <v>#DIV/0!</v>
      </c>
      <c r="K4" s="52"/>
      <c r="L4" s="52" t="str">
        <f t="shared" ref="L4:L10" si="4">ABS(J4)</f>
        <v>#DIV/0!</v>
      </c>
      <c r="M4" s="52"/>
      <c r="N4" s="58" t="str">
        <f>DIVIDE(L35,2)</f>
        <v>#DIV/0!</v>
      </c>
      <c r="O4" s="52"/>
      <c r="P4" s="52"/>
      <c r="Q4" s="52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>
      <c r="A5" s="52"/>
      <c r="B5" s="59">
        <f t="shared" ref="B5:B10" si="5">B4</f>
        <v>94999.69305</v>
      </c>
      <c r="C5" s="54">
        <v>2.0</v>
      </c>
      <c r="D5" s="30"/>
      <c r="E5" s="29">
        <f t="shared" ref="E5:E7" si="6">D5-C28</f>
        <v>0</v>
      </c>
      <c r="F5" s="69">
        <f t="shared" si="1"/>
        <v>0</v>
      </c>
      <c r="G5" s="52"/>
      <c r="H5" s="60"/>
      <c r="I5" s="56" t="str">
        <f t="shared" si="2"/>
        <v>#DIV/0!</v>
      </c>
      <c r="J5" s="61" t="str">
        <f t="shared" si="3"/>
        <v>#DIV/0!</v>
      </c>
      <c r="K5" s="52"/>
      <c r="L5" s="52" t="str">
        <f t="shared" si="4"/>
        <v>#DIV/0!</v>
      </c>
      <c r="M5" s="52"/>
      <c r="N5" s="36"/>
      <c r="O5" s="52"/>
      <c r="P5" s="52"/>
      <c r="Q5" s="52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>
      <c r="A6" s="62"/>
      <c r="B6" s="59">
        <f t="shared" si="5"/>
        <v>94999.69305</v>
      </c>
      <c r="C6" s="54">
        <v>3.0</v>
      </c>
      <c r="D6" s="40">
        <v>13204.83774</v>
      </c>
      <c r="E6" s="29">
        <f t="shared" si="6"/>
        <v>13204.83774</v>
      </c>
      <c r="F6" s="69">
        <f t="shared" si="1"/>
        <v>18.86414</v>
      </c>
      <c r="G6" s="52"/>
      <c r="H6" s="37">
        <v>0.0</v>
      </c>
      <c r="I6" s="56" t="str">
        <f t="shared" si="2"/>
        <v>#DIV/0!</v>
      </c>
      <c r="J6" s="61" t="str">
        <f t="shared" si="3"/>
        <v>#DIV/0!</v>
      </c>
      <c r="K6" s="52"/>
      <c r="L6" s="52" t="str">
        <f t="shared" si="4"/>
        <v>#DIV/0!</v>
      </c>
      <c r="M6" s="52"/>
      <c r="N6" s="36"/>
      <c r="O6" s="52"/>
      <c r="P6" s="52"/>
      <c r="Q6" s="52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63"/>
      <c r="B7" s="59">
        <f t="shared" si="5"/>
        <v>94999.69305</v>
      </c>
      <c r="C7" s="54">
        <v>4.0</v>
      </c>
      <c r="D7" s="30"/>
      <c r="E7" s="29">
        <f t="shared" si="6"/>
        <v>0</v>
      </c>
      <c r="F7" s="69">
        <f t="shared" si="1"/>
        <v>0</v>
      </c>
      <c r="G7" s="52"/>
      <c r="H7" s="60">
        <v>0.0</v>
      </c>
      <c r="I7" s="56" t="str">
        <f t="shared" si="2"/>
        <v>#DIV/0!</v>
      </c>
      <c r="J7" s="61" t="str">
        <f t="shared" si="3"/>
        <v>#DIV/0!</v>
      </c>
      <c r="K7" s="52"/>
      <c r="L7" s="52" t="str">
        <f t="shared" si="4"/>
        <v>#DIV/0!</v>
      </c>
      <c r="M7" s="52"/>
      <c r="N7" s="36"/>
      <c r="O7" s="52"/>
      <c r="P7" s="52"/>
      <c r="Q7" s="52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A8" s="63"/>
      <c r="B8" s="59">
        <f t="shared" si="5"/>
        <v>94999.69305</v>
      </c>
      <c r="C8" s="54">
        <v>5.0</v>
      </c>
      <c r="D8" s="40">
        <v>9017.29784</v>
      </c>
      <c r="E8" s="29">
        <f>D8-C27</f>
        <v>9017.29784</v>
      </c>
      <c r="F8" s="69">
        <f t="shared" si="1"/>
        <v>12.88191</v>
      </c>
      <c r="G8" s="52"/>
      <c r="H8" s="55">
        <v>0.0</v>
      </c>
      <c r="I8" s="56" t="str">
        <f t="shared" si="2"/>
        <v>#DIV/0!</v>
      </c>
      <c r="J8" s="61" t="str">
        <f t="shared" si="3"/>
        <v>#DIV/0!</v>
      </c>
      <c r="K8" s="52"/>
      <c r="L8" s="52" t="str">
        <f t="shared" si="4"/>
        <v>#DIV/0!</v>
      </c>
      <c r="M8" s="52"/>
      <c r="N8" s="36"/>
      <c r="O8" s="52"/>
      <c r="P8" s="52"/>
      <c r="Q8" s="52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63"/>
      <c r="B9" s="59">
        <f t="shared" si="5"/>
        <v>94999.69305</v>
      </c>
      <c r="C9" s="54">
        <v>6.0</v>
      </c>
      <c r="D9" s="56"/>
      <c r="E9" s="29">
        <f t="shared" ref="E9:E12" si="7">D9-C32</f>
        <v>0</v>
      </c>
      <c r="F9" s="69">
        <f t="shared" si="1"/>
        <v>0</v>
      </c>
      <c r="G9" s="52"/>
      <c r="H9" s="65"/>
      <c r="I9" s="56" t="str">
        <f t="shared" si="2"/>
        <v>#DIV/0!</v>
      </c>
      <c r="J9" s="61" t="str">
        <f t="shared" si="3"/>
        <v>#DIV/0!</v>
      </c>
      <c r="K9" s="52"/>
      <c r="L9" s="52" t="str">
        <f t="shared" si="4"/>
        <v>#DIV/0!</v>
      </c>
      <c r="M9" s="52"/>
      <c r="N9" s="36"/>
      <c r="O9" s="52"/>
      <c r="P9" s="52"/>
      <c r="Q9" s="52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>
      <c r="A10" s="63"/>
      <c r="B10" s="59">
        <f t="shared" si="5"/>
        <v>94999.69305</v>
      </c>
      <c r="C10" s="54">
        <v>7.0</v>
      </c>
      <c r="D10" s="37">
        <v>0.0</v>
      </c>
      <c r="E10" s="29">
        <f t="shared" si="7"/>
        <v>0</v>
      </c>
      <c r="F10" s="69">
        <f t="shared" si="1"/>
        <v>0</v>
      </c>
      <c r="G10" s="52"/>
      <c r="H10" s="55">
        <v>0.0</v>
      </c>
      <c r="I10" s="56" t="str">
        <f t="shared" si="2"/>
        <v>#DIV/0!</v>
      </c>
      <c r="J10" s="66" t="str">
        <f t="shared" si="3"/>
        <v>#DIV/0!</v>
      </c>
      <c r="K10" s="52"/>
      <c r="L10" s="52" t="str">
        <f t="shared" si="4"/>
        <v>#DIV/0!</v>
      </c>
      <c r="M10" s="52"/>
      <c r="N10" s="38"/>
      <c r="O10" s="52"/>
      <c r="P10" s="52"/>
      <c r="Q10" s="52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>
      <c r="A11" s="63"/>
      <c r="B11" s="63"/>
      <c r="C11" s="52"/>
      <c r="D11" s="56"/>
      <c r="E11" s="29">
        <f t="shared" si="7"/>
        <v>0</v>
      </c>
      <c r="F11" s="52"/>
      <c r="G11" s="52"/>
      <c r="H11" s="52"/>
      <c r="I11" s="52"/>
      <c r="J11" s="52"/>
      <c r="K11" s="52"/>
      <c r="L11" s="52"/>
      <c r="M11" s="52"/>
      <c r="N11" s="67"/>
      <c r="O11" s="52"/>
      <c r="P11" s="52"/>
      <c r="Q11" s="52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>
      <c r="A12" s="63"/>
      <c r="B12" s="63"/>
      <c r="C12" s="52"/>
      <c r="D12" s="56"/>
      <c r="E12" s="29">
        <f t="shared" si="7"/>
        <v>0</v>
      </c>
      <c r="F12" s="52"/>
      <c r="G12" s="52"/>
      <c r="H12" s="52"/>
      <c r="I12" s="52"/>
      <c r="J12" s="52"/>
      <c r="K12" s="52"/>
      <c r="L12" s="52"/>
      <c r="M12" s="52"/>
      <c r="N12" s="67"/>
      <c r="O12" s="52"/>
      <c r="P12" s="52"/>
      <c r="Q12" s="52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>
      <c r="A13" s="63"/>
      <c r="B13" s="63"/>
      <c r="C13" s="52"/>
      <c r="D13" s="56"/>
      <c r="E13" s="56"/>
      <c r="F13" s="52"/>
      <c r="G13" s="52"/>
      <c r="H13" s="52"/>
      <c r="I13" s="52"/>
      <c r="J13" s="52"/>
      <c r="K13" s="52"/>
      <c r="L13" s="52"/>
      <c r="M13" s="52"/>
      <c r="N13" s="67"/>
      <c r="O13" s="52"/>
      <c r="P13" s="52"/>
      <c r="Q13" s="52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>
      <c r="A14" s="52"/>
      <c r="B14" s="37">
        <v>0.0</v>
      </c>
      <c r="C14" s="52"/>
      <c r="D14" s="56"/>
      <c r="E14" s="56"/>
      <c r="F14" s="52"/>
      <c r="G14" s="52"/>
      <c r="H14" s="52"/>
      <c r="I14" s="52"/>
      <c r="J14" s="52"/>
      <c r="K14" s="52"/>
      <c r="L14" s="52"/>
      <c r="M14" s="52"/>
      <c r="N14" s="67"/>
      <c r="O14" s="52"/>
      <c r="P14" s="52"/>
      <c r="Q14" s="52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>
      <c r="A15" s="63" t="s">
        <v>93</v>
      </c>
      <c r="B15" s="40">
        <v>25000.0</v>
      </c>
      <c r="C15" s="52"/>
      <c r="D15" s="55"/>
      <c r="E15" s="55"/>
      <c r="F15" s="52"/>
      <c r="G15" s="52"/>
      <c r="H15" s="52"/>
      <c r="I15" s="52"/>
      <c r="J15" s="52"/>
      <c r="K15" s="52"/>
      <c r="L15" s="52"/>
      <c r="M15" s="52"/>
      <c r="N15" s="67"/>
      <c r="O15" s="52"/>
      <c r="P15" s="52"/>
      <c r="Q15" s="52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>
      <c r="A16" s="52"/>
      <c r="B16" s="37">
        <v>0.0</v>
      </c>
      <c r="C16" s="52"/>
      <c r="D16" s="56"/>
      <c r="E16" s="56"/>
      <c r="F16" s="52"/>
      <c r="G16" s="70" t="s">
        <v>94</v>
      </c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>
      <c r="A17" s="63"/>
      <c r="B17" s="37">
        <v>0.0</v>
      </c>
      <c r="C17" s="52"/>
      <c r="D17" s="56"/>
      <c r="E17" s="56"/>
      <c r="F17" s="52"/>
      <c r="G17" s="71">
        <v>100.0</v>
      </c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>
      <c r="A18" s="63" t="s">
        <v>95</v>
      </c>
      <c r="B18" s="93">
        <v>0.0</v>
      </c>
      <c r="C18" s="52"/>
      <c r="D18" s="56"/>
      <c r="E18" s="56"/>
      <c r="F18" s="52"/>
      <c r="G18" s="71">
        <v>0.0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>
      <c r="A19" s="52"/>
      <c r="B19" s="93">
        <v>0.0</v>
      </c>
      <c r="C19" s="52"/>
      <c r="D19" s="56"/>
      <c r="E19" s="56"/>
      <c r="F19" s="52"/>
      <c r="G19" s="71">
        <v>0.0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>
      <c r="A22" s="81"/>
      <c r="B22" s="94"/>
      <c r="C22" s="83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>
      <c r="A23" s="84" t="s">
        <v>107</v>
      </c>
      <c r="B23" s="40"/>
      <c r="C23" s="85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>
      <c r="A24" s="86"/>
      <c r="B24" s="95"/>
      <c r="C24" s="85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>
      <c r="A25" s="87"/>
      <c r="B25" s="88"/>
      <c r="C25" s="89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4"/>
      <c r="N26" s="52"/>
      <c r="O26" s="52"/>
      <c r="P26" s="52"/>
      <c r="Q26" s="52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>
      <c r="A27" s="70" t="s">
        <v>96</v>
      </c>
      <c r="B27" s="73">
        <f>SUM(B15,B18,B16,B17,B14,B19)</f>
        <v>25000</v>
      </c>
      <c r="C27" s="52">
        <f>SUM(B22,B23,B24,B25)</f>
        <v>0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>
      <c r="A31" s="52"/>
      <c r="B31" s="74">
        <f>B5-B27</f>
        <v>69999.69305</v>
      </c>
      <c r="C31" s="52"/>
      <c r="D31" s="52"/>
      <c r="E31" s="74">
        <f>sum(E4:E19)</f>
        <v>69999.69305</v>
      </c>
      <c r="F31" s="52">
        <f>sum(F4:F10)</f>
        <v>100</v>
      </c>
      <c r="G31" s="52"/>
      <c r="H31" s="52">
        <f t="shared" ref="H31:I31" si="8">SUM(H4:H10)</f>
        <v>0</v>
      </c>
      <c r="I31" s="52" t="str">
        <f t="shared" si="8"/>
        <v>#DIV/0!</v>
      </c>
      <c r="J31" s="52"/>
      <c r="K31" s="52"/>
      <c r="L31" s="52"/>
      <c r="M31" s="52"/>
      <c r="N31" s="52"/>
      <c r="O31" s="52"/>
      <c r="P31" s="52"/>
      <c r="Q31" s="52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>
      <c r="A34" s="52"/>
      <c r="B34" s="52"/>
      <c r="C34" s="52"/>
      <c r="D34" s="54"/>
      <c r="E34" s="54" t="s">
        <v>97</v>
      </c>
      <c r="F34" s="54" t="s">
        <v>98</v>
      </c>
      <c r="G34" s="52"/>
      <c r="H34" s="54" t="s">
        <v>99</v>
      </c>
      <c r="I34" s="54" t="s">
        <v>100</v>
      </c>
      <c r="J34" s="52"/>
      <c r="K34" s="52"/>
      <c r="L34" s="52"/>
      <c r="M34" s="52"/>
      <c r="N34" s="52"/>
      <c r="O34" s="52"/>
      <c r="P34" s="52"/>
      <c r="Q34" s="52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>
      <c r="A35" s="75"/>
      <c r="B35" s="75"/>
      <c r="C35" s="75"/>
      <c r="D35" s="52"/>
      <c r="E35" s="52" t="b">
        <f>EQ(E31,B31)</f>
        <v>1</v>
      </c>
      <c r="F35" s="76" t="b">
        <f>eq(sum(F4:F25),100)</f>
        <v>1</v>
      </c>
      <c r="G35" s="75"/>
      <c r="H35" s="52" t="b">
        <f t="shared" ref="H35:I35" si="9">eq(sum(H4:H25),100)</f>
        <v>0</v>
      </c>
      <c r="I35" s="52" t="str">
        <f t="shared" si="9"/>
        <v>#DIV/0!</v>
      </c>
      <c r="J35" s="75"/>
      <c r="K35" s="75"/>
      <c r="L35" s="75" t="str">
        <f> SUM(L4:L34)</f>
        <v>#DIV/0!</v>
      </c>
      <c r="M35" s="75"/>
      <c r="N35" s="75"/>
      <c r="O35" s="75"/>
      <c r="P35" s="75"/>
      <c r="Q35" s="75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</row>
    <row r="36">
      <c r="A36" s="52"/>
      <c r="B36" s="52"/>
      <c r="C36" s="52"/>
      <c r="D36" s="54"/>
      <c r="E36" s="54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>
      <c r="A47" s="52"/>
      <c r="B47" s="52"/>
      <c r="C47" s="52"/>
      <c r="D47" s="52"/>
      <c r="E47" s="52"/>
      <c r="F47" s="52"/>
      <c r="G47" s="55">
        <f>100-SUM(G18,G17,G19)</f>
        <v>0</v>
      </c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</row>
    <row r="1001">
      <c r="A1001" s="30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</row>
    <row r="1002">
      <c r="A1002" s="30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</row>
    <row r="1003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</row>
    <row r="1004">
      <c r="A1004" s="30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</row>
    <row r="1005">
      <c r="A1005" s="30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</row>
    <row r="1006">
      <c r="A1006" s="30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</row>
    <row r="1007">
      <c r="A1007" s="30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</row>
    <row r="1008">
      <c r="A1008" s="30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</row>
    <row r="1009">
      <c r="A1009" s="30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</row>
    <row r="1010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</row>
    <row r="1011">
      <c r="A1011" s="30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</row>
    <row r="1012">
      <c r="A1012" s="30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</row>
  </sheetData>
  <mergeCells count="1">
    <mergeCell ref="N4:N10"/>
  </mergeCells>
  <drawing r:id="rId1"/>
</worksheet>
</file>