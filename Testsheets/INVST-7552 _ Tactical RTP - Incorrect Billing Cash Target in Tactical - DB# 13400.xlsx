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culations" sheetId="2" r:id="rId5"/>
  </sheets>
  <definedNames/>
  <calcPr/>
</workbook>
</file>

<file path=xl/sharedStrings.xml><?xml version="1.0" encoding="utf-8"?>
<sst xmlns="http://schemas.openxmlformats.org/spreadsheetml/2006/main" count="199" uniqueCount="143">
  <si>
    <t>https://orion-advisor.atlassian.net/browse/INVST-7552</t>
  </si>
  <si>
    <t>Developer - Gopika,Prateek</t>
  </si>
  <si>
    <t>QA - Gourav Singh,Gurmeet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</si>
  <si>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</si>
  <si>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</si>
  <si>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</si>
  <si>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</si>
  <si>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</si>
  <si>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</si>
  <si>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</si>
  <si>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Single Account Portfolio</t>
  </si>
  <si>
    <t>Reserve Cash Billing Percent of  Account = Account value - Excluded holdings
Reserve Cash Billing Percent of  Portfolio = Portfolio value - Excluded holdings</t>
  </si>
  <si>
    <t>incorrect_billing_cash_b7552 ON</t>
  </si>
  <si>
    <r>
      <rPr>
        <rFont val="Arial"/>
        <color theme="1"/>
      </rPr>
      <t>Reserve Cash - Billing Account   :</t>
    </r>
    <r>
      <rPr>
        <rFont val="Arial"/>
        <b/>
        <color theme="1"/>
      </rPr>
      <t xml:space="preserve"> 1 % </t>
    </r>
    <r>
      <rPr>
        <rFont val="Arial"/>
        <color theme="1"/>
      </rPr>
      <t xml:space="preserve">
Reserve Cash Billing Percent Of : </t>
    </r>
    <r>
      <rPr>
        <rFont val="Arial"/>
        <b/>
        <color theme="1"/>
      </rPr>
      <t>Account.</t>
    </r>
  </si>
  <si>
    <t>Firm 85600 &gt; PID 95409 &gt; TT &gt; Account and cash details &gt; check Billing Target % and $ value.</t>
  </si>
  <si>
    <t>Billing Target $ should be calculated as per the Account or Portfolio value which is set at pref.</t>
  </si>
  <si>
    <t>Working as Expected.</t>
  </si>
  <si>
    <t>PASS</t>
  </si>
  <si>
    <t>Firm 85600 &gt; PID 95409 &gt; TT &gt; Account and cash details &gt; Add Set aside cash $ 80000 &gt; Save &gt; Run analytics &gt; check Billing Target % and $ value.</t>
  </si>
  <si>
    <t>Billing Target $ should be calculated wrt Account or Portfolio value including Set aside, Reserve and Billing value.</t>
  </si>
  <si>
    <t>Firm 85600 &gt; PID 95409 &gt; TT &gt; Account and cash details &gt; check Billing Target % and $ value &gt; holding and trade details &gt; select Unassigned security &gt; Sell all &gt; Check Billing Target $ value.</t>
  </si>
  <si>
    <t>Billing Target $ should remain consistent before and after the trade is created.</t>
  </si>
  <si>
    <t xml:space="preserve">Working fine now.
Billing Target $ changed when trade created and updated correctly when trades saved. </t>
  </si>
  <si>
    <t>Firm 85600 &gt; PID 95409 &gt; TT &gt; Account and cash details &gt; check Billing Target % and $ value &gt; holding and trade details &gt; select Assigned security &gt; Buy / Sell security &gt; Check Billing Target $ value.</t>
  </si>
  <si>
    <t>Firm 85600 &gt; PID 95409 &gt; TT &gt; Account and cash details &gt; holding and trade details &gt; Account has Excluded security &gt; check Account value and Excluded security value &gt; Calculate Billing Target $ value.</t>
  </si>
  <si>
    <t>Billing Target $ should be calculated wrt Account or Portfolio value including Set aside, Reserve and Billing value and Not including Excluded holdings.</t>
  </si>
  <si>
    <t>Firm 85600 &gt; PID 95409 &gt; TT &gt; Account and cash details &gt; check Billing Target % and $ value &gt; holding and trade details &gt; Select Excluded Security &gt; Create Sell trade &gt; Check Billing Target $ value.</t>
  </si>
  <si>
    <t>Billing Traget $ value should be increased when sell trade created for Excluded security.</t>
  </si>
  <si>
    <t>If the cash post$ is 0, then the billing will also be 0 because billing $ will only be 
set when there is cash. Additionally, we are now using post$ in tactical instead 
of current$.</t>
  </si>
  <si>
    <t>Reserve Cash - Billing Account% : 0.25
Reserve Cash Billing percent Of : Account</t>
  </si>
  <si>
    <t xml:space="preserve">Rci 8500 -&gt; Pid 9367 -&gt; TT -&gt; Account and cash details -&gt; check Billing target % and
Billing $ value </t>
  </si>
  <si>
    <t xml:space="preserve">Billing account% X account value / 100
</t>
  </si>
  <si>
    <t>Billing cash display but not more than
current$</t>
  </si>
  <si>
    <t>now working fine</t>
  </si>
  <si>
    <t>Post$ of cash is 324.61
current$ of cash is 224.61
Billing target % 0.25 and $ 250
Billing $ is 224.61</t>
  </si>
  <si>
    <t>Delete trade in holding and trade detail grid and cash post$ change -&gt; check Billing %
and Billing $ in account and cash details grid</t>
  </si>
  <si>
    <t>value should be change if billing$ &lt; cash post $</t>
  </si>
  <si>
    <t>working as expected</t>
  </si>
  <si>
    <t>pass</t>
  </si>
  <si>
    <r>
      <rPr>
        <rFont val="Arial"/>
        <b/>
        <color theme="1"/>
      </rPr>
      <t xml:space="preserve">Reserve Cash - Billing Account% : 2.1
Reserve Cash Billing percent Of : Account
</t>
    </r>
    <r>
      <rPr>
        <rFont val="Arial"/>
        <color theme="1"/>
      </rPr>
      <t>Rci 8500 -&gt; Pid 9367 -&gt; TT -&gt; create trade and process -&gt; run analytics -&gt; post$ of 
cash increase -&gt; select any ticker create trade $1700 and check current$ and % in 
model tolerance grid</t>
    </r>
  </si>
  <si>
    <t>current $ and current% should not change when 
create trade in tactical tool</t>
  </si>
  <si>
    <t>current % and current $ display in negative
after create trade</t>
  </si>
  <si>
    <t>Multiple Accounts Portfolio</t>
  </si>
  <si>
    <r>
      <rPr>
        <rFont val="Arial"/>
        <b/>
        <color theme="1"/>
      </rPr>
      <t xml:space="preserve">Reserve Cash Billing Percent Of : Account / Portfolio.
</t>
    </r>
    <r>
      <rPr>
        <rFont val="Arial"/>
        <color theme="1"/>
      </rPr>
      <t>Firm 85600 &gt; PID 2074 &gt; TT &gt; has Two SMA accounts with both Checked and Unchecked Billing Account and One normal Account &gt; Account and cash details &gt; check Billing Target % and $ value.</t>
    </r>
  </si>
  <si>
    <t>Billing target % and $ values should be 0.00 for SMA Accounts.</t>
  </si>
  <si>
    <t>Firm 85600 &gt; PID 170 &gt; TT &gt; Holding and trade details &gt; Check Billing Target $ and % values &gt; Run Rebalancer &gt; check values &gt; Save trade &gt; Run analytics &gt; Compare Billing Target $ and % values before and after trades saved.</t>
  </si>
  <si>
    <t>Billing Target $ and % values should remain consistent before and after the trade is saved.</t>
  </si>
  <si>
    <t>Firm 85600 &gt; PID 170 &gt; TT &gt; Holding and trade details &gt; Securities have Open trades &gt; Click on Delete all &gt; Getting error.</t>
  </si>
  <si>
    <t>Not related to this ticket.</t>
  </si>
  <si>
    <t>Firm 85600 &gt; Portfolio grid &gt; PID 170 , 33930 &gt; Do not Run analytics &gt; Check Accounts in Portfolios (AID 83213 and 10151 are assigned to PID 170 ) &gt; Order Grid &gt; Search AID 83213 &gt; Check Portfolio ID for Account.</t>
  </si>
  <si>
    <t>data issue</t>
  </si>
  <si>
    <t>Reserve Cash Replenish off</t>
  </si>
  <si>
    <t>Rci 8500-&gt; Pid 9367 -&gt; TT -&gt; create trade and save -&gt; run analytics -&gt; post$ of cash
increase -&gt; set Reserve Cash - Billing Account is 4% and check billing % and $ in 
account and cash detail grid</t>
  </si>
  <si>
    <t>Billing cash should not exceed post cash of account 
if replenish is off</t>
  </si>
  <si>
    <t>Rci 8500 -&gt; Pid 9367 -&gt; TT -&gt; set aside set on account level is 50 no min max set -&gt; 
save -&gt; set billing 4% -&gt; account cash post 0 set aside should be 0 because we 
haven't cash -&gt; check exculde value in tactical and portfolio details</t>
  </si>
  <si>
    <t>When cash 0 and set aside min is 0 than set aside
should not set</t>
  </si>
  <si>
    <t>Set aside min 0 but set amount subtract
from managed value and display in 
exculded value</t>
  </si>
  <si>
    <t>fail</t>
  </si>
  <si>
    <t>not related to this ticket</t>
  </si>
  <si>
    <t>Exclude ticker</t>
  </si>
  <si>
    <t xml:space="preserve">Rci 8500 -&gt; Pid 9367 -&gt; TT -&gt; exclude ticker TestEQ0.46 -&gt; create buy trade of amount
200000 -&gt; check billing target % and $ in account and cash detail grid </t>
  </si>
  <si>
    <t>Billing target % and $ value should not be negative</t>
  </si>
  <si>
    <t>Billing % and $ become negative</t>
  </si>
  <si>
    <t>Reserve Cash - Taxable % : 0.21
Reserve Cash - Billing Account   : 0.21 % 
Reserve Cash Billing Percent Of : Account.</t>
  </si>
  <si>
    <t>Rci 8500 -&gt; Pid 9367 -&gt; check billing % and reserve cash in tactical and trade log file 
after run rebalancer</t>
  </si>
  <si>
    <t xml:space="preserve">Reserve cash calculate using account managed
value (account value - excluded ticker)
</t>
  </si>
  <si>
    <r>
      <rPr>
        <rFont val="Arial"/>
        <b/>
        <color theme="1"/>
      </rPr>
      <t xml:space="preserve">Reserve Cash - Taxable % : 50
Reserve Cash - Billing Account   : 50 % 
Reserve Cash Billing Percent Of : Account and portfolio for 2nd account
</t>
    </r>
    <r>
      <rPr>
        <rFont val="Arial"/>
        <b val="0"/>
        <color theme="1"/>
      </rPr>
      <t xml:space="preserve">Rci 8500 -&gt; Pid 9367 -&gt; check billing % and $ in tactical tool rsrvCash BillingAccount in
trade log file after run rebalancer save trade -&gt; run rebalancer again and check </t>
    </r>
    <r>
      <rPr>
        <rFont val="Arial"/>
        <b/>
        <color theme="1"/>
      </rPr>
      <t xml:space="preserve"> 
</t>
    </r>
    <r>
      <rPr>
        <rFont val="Arial"/>
        <b val="0"/>
        <color theme="1"/>
      </rPr>
      <t>rsrvCash BillingAccount in both trade log file</t>
    </r>
  </si>
  <si>
    <t xml:space="preserve"> rsrvCash BillingAccount should be same in both
trade log file and in Tactical tool</t>
  </si>
  <si>
    <t xml:space="preserve"> rsrvCash BillingAccount didn't same in 
both trade log file</t>
  </si>
  <si>
    <r>
      <rPr>
        <rFont val="Arial"/>
        <color theme="1"/>
      </rPr>
      <t xml:space="preserve">not related to this ticket
</t>
    </r>
    <r>
      <rPr>
        <rFont val="Arial"/>
        <i/>
        <color theme="1"/>
      </rPr>
      <t>portfolio worth change due to BOND_ASSET trade</t>
    </r>
  </si>
  <si>
    <t>Sleeved Account Portfolio</t>
  </si>
  <si>
    <r>
      <rPr>
        <rFont val="Arial"/>
        <color theme="1"/>
      </rPr>
      <t>Reserve Cash - Billing Account   :</t>
    </r>
    <r>
      <rPr>
        <rFont val="Arial"/>
        <b/>
        <color theme="1"/>
      </rPr>
      <t xml:space="preserve"> 1 % </t>
    </r>
    <r>
      <rPr>
        <rFont val="Arial"/>
        <color theme="1"/>
      </rPr>
      <t xml:space="preserve">
Reserve Cash Billing Percent Of : </t>
    </r>
    <r>
      <rPr>
        <rFont val="Arial"/>
        <b/>
        <color theme="1"/>
      </rPr>
      <t>Account.</t>
    </r>
  </si>
  <si>
    <t>Firm 85600 &gt; PID 68333 &gt; TT &gt; Account and Cash details &gt; Select Normal account &gt; Check Billing Target $ and % value for same account.</t>
  </si>
  <si>
    <t>Firm 85600 &gt; PID 68333 &gt; TT &gt; Account and cash details &gt; Accounts have Open saved trades &gt; Select Accounts / Tripple dots &gt; Trade tools &gt; Select any tool &gt; Check Pop up for unsaved trades.</t>
  </si>
  <si>
    <t>Unsaved trades popup message should not appear befor running any trade tools as portfolio / account do not have any unsaved trades.</t>
  </si>
  <si>
    <t>Unsaved trades popup message displays when trade tools selcted on Portfolio / Account.</t>
  </si>
  <si>
    <t>Firm 85600 &gt; PID 15120 &gt; TT &gt; Account and Cash details &gt; check Billing $ and Billing Target $ and % values &gt; Tripple dots &gt; trade tools &gt; spend cash &gt; next &gt; caclulate &gt; check Values before and after trades saved.
Run analytics &gt; Check Billing $ and % value &gt; Delete all &gt; Check Billing % values updated to 0.00 while Billing $ remains same.</t>
  </si>
  <si>
    <t>Billing $ and % value updated when spend cash trade saved.
Billing % value update to 0.00 when trades deleted while Billing $ remains consistent before trades saved.</t>
  </si>
  <si>
    <t>FAIL</t>
  </si>
  <si>
    <t>existing functionality</t>
  </si>
  <si>
    <t>Firm 85600 &gt; PID 19 &gt; TT &gt; Account and Cash details &gt; check Billing $ and Billing Target $ and % values &gt; Tripple dots &gt; trade tools &gt; Raise cash &gt; next &gt; caclulate &gt; check Values before and after trades saved.</t>
  </si>
  <si>
    <t>Firm 85600 &gt; PID 19 &gt; TT &gt; Account and Cash details &gt; check Billing Target $ and % values &gt; Tripple dots &gt; trade tools &gt; Rebalancer &gt; next &gt; caclulate &gt; check Values before and after trades saved.</t>
  </si>
  <si>
    <r>
      <rPr>
        <rFont val="Arial"/>
        <b/>
        <color theme="1"/>
      </rPr>
      <t xml:space="preserve">Reserve Cash Billing Percent Of : Portfolio.
</t>
    </r>
    <r>
      <rPr>
        <rFont val="Arial"/>
        <color theme="1"/>
      </rPr>
      <t>Firm 85600 &gt; PID 68333 &gt; TT &gt; Account and Cash details &gt; Select Normal account &gt; Check Billing Target $ and % value for same account.</t>
    </r>
  </si>
  <si>
    <t>Firm 85600 &gt; PID 9276 &gt; TT &gt; Account and Cash details &gt; Select Normal account &gt; check Billing Account columns is Uncheck &gt; Check Billing Target $ and % value for same account.</t>
  </si>
  <si>
    <t xml:space="preserve">A billing target should only apply to account marked as "billing accounts" </t>
  </si>
  <si>
    <t>Billing Target % and $ value available for Account with uncheck Billing account</t>
  </si>
  <si>
    <t>Please check this case.</t>
  </si>
  <si>
    <t xml:space="preserve">As per functinality, Billing Target % and $ value will show up for billing and non billing accounts, billing account field will impact the billing actual amount which is working as expected. </t>
  </si>
  <si>
    <t>Check Distribution account</t>
  </si>
  <si>
    <t>Rci 8500 -&gt; portfolio 27327 -&gt; tactical tool -&gt; run raise cash select method distribution
sleeve -&gt; amount 10000 -&gt; check billing % and $ column in account and cash detail 
grid</t>
  </si>
  <si>
    <t>Billing % and $ should not display in account and 
cash details for distribution and contribution
sleeve</t>
  </si>
  <si>
    <t>Billing % and $ displayed in account and
cash details grid</t>
  </si>
  <si>
    <t>Check billing target % in model tolerance cash row popup</t>
  </si>
  <si>
    <t>Rci 8500 -&gt; pid 21336 -&gt; set billing % 100 in portfolio level -&gt; check billing target % in
model tolerance cash row popup</t>
  </si>
  <si>
    <t>Billing target % in popup is = (sum of billingAccount
TargetCash for all accounts) / portfoliManaged
Value * 100.0</t>
  </si>
  <si>
    <t>Reserve cash billing percent of : portfolio is 100%</t>
  </si>
  <si>
    <t>Rci 8500 -&gt; Pid 21336 -&gt; tactical tool -&gt; set reserve cash billing % in portfolio level and
run analytics -&gt; check billing target % in model tolerance cash popup window</t>
  </si>
  <si>
    <t>managed value 0 due to rounding and
billing target % is 7692293199.035057</t>
  </si>
  <si>
    <t>Reserve Cash - Taxable % : 50
Reserve Cash - Billing Account   : 50 % 
Reserve Cash Billing Percent Of : Account.</t>
  </si>
  <si>
    <t>Rci 8500 -&gt; Pid 21336 -&gt; TT -&gt; run rebalancer -&gt; save trades -&gt; check trade log file
account number SMETEST701_03 and check billing target $ and billing $ in tactical
and rsrvCash BillingAccount in trade log file</t>
  </si>
  <si>
    <t>Billing $ and rsrvCash BillingAccount should be same</t>
  </si>
  <si>
    <t>billing in tactical is 8722.410885
rsrvCash BillingAccount 8514.8848850</t>
  </si>
  <si>
    <r>
      <rPr>
        <rFont val="Arial"/>
        <color theme="1"/>
      </rPr>
      <t xml:space="preserve">not related to this ticket
</t>
    </r>
    <r>
      <rPr>
        <rFont val="Arial"/>
        <i/>
        <color theme="1"/>
      </rPr>
      <t>When run rebalancer and  security journals create
and account value update and billing target % different</t>
    </r>
  </si>
  <si>
    <t>Reserve Cash - Taxable % : 50
Reserve Cash - Billing Account   : 5 % 
Reserve Cash Billing Percent Of : Account.
Reserve Cash Replenish : Off</t>
  </si>
  <si>
    <t xml:space="preserve">Rci 8500 -&gt; Pid 21336 -&gt; TT -&gt; Reserve Cash Replenish : Off -&gt; post $ more than 0 
check billing % and billing $ in account and cash details grid </t>
  </si>
  <si>
    <t>Billing % and billing $ should be displayed when
billing target % more than 0</t>
  </si>
  <si>
    <r>
      <rPr>
        <rFont val="Arial"/>
        <b/>
        <color theme="1"/>
      </rPr>
      <t xml:space="preserve">Check reserve %,$ in account and cash details
</t>
    </r>
    <r>
      <rPr>
        <rFont val="Arial"/>
        <color theme="1"/>
      </rPr>
      <t>Rci 8500 -&gt; Pid 21336 -&gt; TT -&gt; Reserve Cash Replenish : Off -&gt; select account Id 
OASTESTING.4107 -&gt; sell all ticker save -&gt; TT -&gt; delete all trade -&gt; save and check 
reserve cash column value of that account</t>
    </r>
  </si>
  <si>
    <t>Reserve % and $ should be positive numbers.</t>
  </si>
  <si>
    <t>Reserve % and $ display same as post$
and it is in negative</t>
  </si>
  <si>
    <t xml:space="preserve">Rci 8500 -&gt; Pid 21336 -&gt; TT -&gt;  Reserve Cash Replenish : Off 
Check reserve cash in distributioin sleeve </t>
  </si>
  <si>
    <t>Only set aside will set on distribution sleeve 
according to rebalancer</t>
  </si>
  <si>
    <t>Reserve $ display in distribution sleeve</t>
  </si>
  <si>
    <t>Reserve Cash - Billing Account   : 10 % 
Reserve Cash Billing Percent Of : Account.
Reserve Cash Replenish : Off
Run raise cash</t>
  </si>
  <si>
    <t>Rci 8500 -&gt; Pid 21336 -&gt; TT -&gt; run raise cash -&gt; journals created -&gt; check billing 
target $ and billing target % in account and cash detail grid</t>
  </si>
  <si>
    <t>Billing % and $ should same before and after run
raise cash tool</t>
  </si>
  <si>
    <t>After run raise cash journals created 
billing target $ changed and billing target %
same</t>
  </si>
  <si>
    <r>
      <rPr>
        <rFont val="Arial"/>
        <color theme="1"/>
      </rPr>
      <t xml:space="preserve">not related to this ticket
</t>
    </r>
    <r>
      <rPr>
        <rFont val="Arial"/>
        <i/>
        <color theme="1"/>
      </rPr>
      <t>When run rebalancer and cash journals created
and account value update and billing target $ different</t>
    </r>
  </si>
  <si>
    <t>Check Non billing account</t>
  </si>
  <si>
    <t>Rci 8500 -&gt; Pid 14429 -&gt; TT -&gt; set billing account : 10 % -&gt; Aid OASTESTING.23149
OASTESTING.23150 both non billing account and check billing target % and $ 
Check billing % in account and cash details grid</t>
  </si>
  <si>
    <t>Billing target % and $ should display but Billing $ 
and % should not display</t>
  </si>
  <si>
    <t xml:space="preserve">SMA account </t>
  </si>
  <si>
    <t>Rci 8500 -&gt; Pid 14429 -&gt; TT -&gt; set billing account : 10 % -&gt; Aid OASTESTING.23151
is SMA account and check billing target % and $ check billing % in account and cash 
details grid</t>
  </si>
  <si>
    <t>Billing target %, $ and Billing $  % should not display</t>
  </si>
  <si>
    <t>Date -22/08/2024</t>
  </si>
  <si>
    <t xml:space="preserve">Portfolio with no model 
88200--&gt;375229--&gt; set billing 
</t>
  </si>
  <si>
    <t>Billing % and billing $ should be displayed</t>
  </si>
  <si>
    <t xml:space="preserve">Astro account 
31800--&gt;301
</t>
  </si>
  <si>
    <t xml:space="preserve">Billing % and billing $ should be displayed </t>
  </si>
  <si>
    <t>Reserve Cash Usage preference 
88200--&gt;292372--&gt;reserve usage = min --&gt;Target =100 % --&gt; rebalance of = Account--&gt;it should not give any amount to billing $ as in trade log file .</t>
  </si>
  <si>
    <t>No handling for this preference in tactical tool</t>
  </si>
  <si>
    <t xml:space="preserve">fail </t>
  </si>
  <si>
    <t>We will add comment for this .</t>
  </si>
  <si>
    <t xml:space="preserve">Excluded :value column </t>
  </si>
  <si>
    <t xml:space="preserve">Billing % and billing $ should be same as excluded in account and cash detail section </t>
  </si>
  <si>
    <t xml:space="preserve">pass </t>
  </si>
  <si>
    <t xml:space="preserve">Managed value </t>
  </si>
  <si>
    <t>Percent %</t>
  </si>
  <si>
    <t>Value</t>
  </si>
  <si>
    <t>Excluded Security</t>
  </si>
  <si>
    <t>Post $</t>
  </si>
  <si>
    <t>SUM</t>
  </si>
  <si>
    <t>Normal</t>
  </si>
  <si>
    <t>Custodial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</si>
</sst>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sz val="16.0"/>
      <color theme="1"/>
      <name val="Arial"/>
      <scheme val="minor"/>
    </font>
    <font>
      <b/>
      <sz val="10.0"/>
      <color theme="1"/>
      <name val="Arial"/>
      <scheme val="minor"/>
    </font>
    <font>
      <sz val="15.0"/>
      <color theme="1"/>
      <name val="Arial"/>
    </font>
    <font>
      <b/>
      <sz val="15.0"/>
      <color theme="1"/>
      <name val="Arial"/>
    </font>
    <font>
      <sz val="15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8" numFmtId="0" xfId="0" applyAlignment="1" applyFont="1">
      <alignment horizontal="left" readingOrder="0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7" fontId="6" numFmtId="0" xfId="0" applyAlignment="1" applyFill="1" applyFont="1">
      <alignment horizontal="left" readingOrder="0" shrinkToFit="0" vertical="center" wrapText="1"/>
    </xf>
    <xf borderId="0" fillId="8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9" fontId="6" numFmtId="0" xfId="0" applyAlignment="1" applyFill="1" applyFont="1">
      <alignment horizontal="left" readingOrder="0" shrinkToFit="0" vertical="center" wrapText="1"/>
    </xf>
    <xf borderId="0" fillId="9" fontId="6" numFmtId="0" xfId="0" applyAlignment="1" applyFont="1">
      <alignment horizontal="left" shrinkToFit="0" vertical="center" wrapText="1"/>
    </xf>
    <xf borderId="0" fillId="9" fontId="8" numFmtId="0" xfId="0" applyAlignment="1" applyFont="1">
      <alignment horizontal="left" shrinkToFit="0" vertical="center" wrapText="1"/>
    </xf>
    <xf borderId="0" fillId="9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/>
    </xf>
    <xf borderId="0" fillId="0" fontId="11" numFmtId="0" xfId="0" applyAlignment="1" applyFont="1">
      <alignment horizontal="center" readingOrder="0" vertical="bottom"/>
    </xf>
    <xf borderId="0" fillId="3" fontId="11" numFmtId="0" xfId="0" applyAlignment="1" applyFont="1">
      <alignment horizontal="center" vertical="bottom"/>
    </xf>
    <xf borderId="0" fillId="10" fontId="11" numFmtId="0" xfId="0" applyAlignment="1" applyFill="1" applyFont="1">
      <alignment horizontal="center" vertical="bottom"/>
    </xf>
    <xf borderId="0" fillId="3" fontId="11" numFmtId="4" xfId="0" applyAlignment="1" applyFont="1" applyNumberFormat="1">
      <alignment horizontal="center" readingOrder="0" vertical="bottom"/>
    </xf>
    <xf borderId="0" fillId="10" fontId="11" numFmtId="4" xfId="0" applyAlignment="1" applyFont="1" applyNumberFormat="1">
      <alignment horizontal="center" readingOrder="0" vertical="bottom"/>
    </xf>
    <xf borderId="0" fillId="11" fontId="11" numFmtId="0" xfId="0" applyAlignment="1" applyFill="1" applyFont="1">
      <alignment horizontal="center" vertical="bottom"/>
    </xf>
    <xf borderId="0" fillId="10" fontId="11" numFmtId="0" xfId="0" applyAlignment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0" fillId="12" fontId="11" numFmtId="0" xfId="0" applyAlignment="1" applyFill="1" applyFont="1">
      <alignment horizontal="center" vertical="bottom"/>
    </xf>
    <xf borderId="0" fillId="12" fontId="11" numFmtId="0" xfId="0" applyAlignment="1" applyFont="1">
      <alignment horizontal="center" readingOrder="0" vertical="bottom"/>
    </xf>
    <xf borderId="0" fillId="2" fontId="11" numFmtId="0" xfId="0" applyAlignment="1" applyFont="1">
      <alignment horizontal="center" vertical="bottom"/>
    </xf>
    <xf borderId="0" fillId="0" fontId="11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55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6.13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 t="s">
        <v>11</v>
      </c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12</v>
      </c>
      <c r="B5" s="8"/>
      <c r="C5" s="8"/>
      <c r="D5" s="8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13</v>
      </c>
      <c r="B6" s="8"/>
      <c r="C6" s="8"/>
      <c r="D6" s="8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14</v>
      </c>
      <c r="B7" s="9" t="s">
        <v>15</v>
      </c>
      <c r="C7" s="9" t="s">
        <v>16</v>
      </c>
      <c r="D7" s="9" t="s">
        <v>17</v>
      </c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18</v>
      </c>
      <c r="B8" s="9" t="s">
        <v>19</v>
      </c>
      <c r="C8" s="9" t="s">
        <v>16</v>
      </c>
      <c r="D8" s="9" t="s">
        <v>17</v>
      </c>
      <c r="E8" s="8"/>
      <c r="F8" s="12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20</v>
      </c>
      <c r="B9" s="9" t="s">
        <v>21</v>
      </c>
      <c r="C9" s="13" t="s">
        <v>22</v>
      </c>
      <c r="D9" s="13" t="s">
        <v>17</v>
      </c>
      <c r="E9" s="8"/>
      <c r="F9" s="12"/>
      <c r="G9" s="14">
        <v>-1.0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12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23</v>
      </c>
      <c r="B11" s="9" t="s">
        <v>21</v>
      </c>
      <c r="C11" s="9" t="s">
        <v>16</v>
      </c>
      <c r="D11" s="9" t="s">
        <v>17</v>
      </c>
      <c r="E11" s="8"/>
      <c r="F11" s="12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12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12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24</v>
      </c>
      <c r="B14" s="9" t="s">
        <v>25</v>
      </c>
      <c r="C14" s="9" t="s">
        <v>16</v>
      </c>
      <c r="D14" s="9" t="s">
        <v>17</v>
      </c>
      <c r="E14" s="8"/>
      <c r="F14" s="12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12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12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26</v>
      </c>
      <c r="B17" s="9" t="s">
        <v>27</v>
      </c>
      <c r="C17" s="9" t="s">
        <v>16</v>
      </c>
      <c r="D17" s="9" t="s">
        <v>17</v>
      </c>
      <c r="E17" s="8"/>
      <c r="F17" s="12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12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28</v>
      </c>
      <c r="B19" s="8"/>
      <c r="C19" s="8"/>
      <c r="D19" s="8"/>
      <c r="E19" s="8"/>
      <c r="F19" s="12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29</v>
      </c>
      <c r="B20" s="8"/>
      <c r="C20" s="8"/>
      <c r="D20" s="8"/>
      <c r="E20" s="8"/>
      <c r="F20" s="12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 t="s">
        <v>30</v>
      </c>
      <c r="B21" s="9" t="s">
        <v>31</v>
      </c>
      <c r="C21" s="9" t="s">
        <v>32</v>
      </c>
      <c r="D21" s="15" t="s">
        <v>33</v>
      </c>
      <c r="E21" s="9" t="s">
        <v>34</v>
      </c>
      <c r="F21" s="12"/>
      <c r="G21" s="14">
        <v>-5.0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 t="s">
        <v>35</v>
      </c>
      <c r="B22" s="9" t="s">
        <v>36</v>
      </c>
      <c r="C22" s="9" t="s">
        <v>37</v>
      </c>
      <c r="D22" s="9" t="s">
        <v>38</v>
      </c>
      <c r="E22" s="8"/>
      <c r="F22" s="12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12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 t="s">
        <v>39</v>
      </c>
      <c r="B24" s="9" t="s">
        <v>40</v>
      </c>
      <c r="C24" s="9" t="s">
        <v>41</v>
      </c>
      <c r="D24" s="16" t="s">
        <v>38</v>
      </c>
      <c r="E24" s="8"/>
      <c r="F24" s="12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12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12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 t="s">
        <v>42</v>
      </c>
      <c r="B27" s="8"/>
      <c r="C27" s="8"/>
      <c r="D27" s="8"/>
      <c r="E27" s="8"/>
      <c r="F27" s="12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 t="s">
        <v>43</v>
      </c>
      <c r="B28" s="9" t="s">
        <v>44</v>
      </c>
      <c r="C28" s="9" t="s">
        <v>16</v>
      </c>
      <c r="D28" s="9" t="s">
        <v>17</v>
      </c>
      <c r="E28" s="8"/>
      <c r="F28" s="12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B29" s="8"/>
      <c r="C29" s="8"/>
      <c r="D29" s="8"/>
      <c r="E29" s="8"/>
      <c r="F29" s="12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 t="s">
        <v>45</v>
      </c>
      <c r="B30" s="9" t="s">
        <v>46</v>
      </c>
      <c r="C30" s="9" t="s">
        <v>37</v>
      </c>
      <c r="D30" s="9" t="s">
        <v>38</v>
      </c>
      <c r="E30" s="8"/>
      <c r="F30" s="12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12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 t="s">
        <v>47</v>
      </c>
      <c r="B32" s="8"/>
      <c r="C32" s="8"/>
      <c r="D32" s="8"/>
      <c r="E32" s="17" t="s">
        <v>48</v>
      </c>
      <c r="F32" s="12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 t="s">
        <v>49</v>
      </c>
      <c r="B33" s="8"/>
      <c r="C33" s="8"/>
      <c r="D33" s="8"/>
      <c r="E33" s="17" t="s">
        <v>48</v>
      </c>
      <c r="F33" s="18" t="s">
        <v>50</v>
      </c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12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51</v>
      </c>
      <c r="B35" s="8"/>
      <c r="C35" s="8"/>
      <c r="D35" s="8"/>
      <c r="E35" s="8"/>
      <c r="F35" s="12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 t="s">
        <v>52</v>
      </c>
      <c r="B36" s="9" t="s">
        <v>53</v>
      </c>
      <c r="C36" s="9" t="s">
        <v>32</v>
      </c>
      <c r="D36" s="15" t="s">
        <v>33</v>
      </c>
      <c r="E36" s="8"/>
      <c r="F36" s="12"/>
      <c r="G36" s="14">
        <v>-1.0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 t="s">
        <v>54</v>
      </c>
      <c r="B37" s="9" t="s">
        <v>55</v>
      </c>
      <c r="C37" s="9" t="s">
        <v>56</v>
      </c>
      <c r="D37" s="16" t="s">
        <v>57</v>
      </c>
      <c r="E37" s="19" t="s">
        <v>58</v>
      </c>
      <c r="F37" s="12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12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12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 t="s">
        <v>59</v>
      </c>
      <c r="B40" s="8"/>
      <c r="C40" s="8"/>
      <c r="D40" s="8"/>
      <c r="E40" s="8"/>
      <c r="F40" s="12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 t="s">
        <v>60</v>
      </c>
      <c r="B41" s="9" t="s">
        <v>61</v>
      </c>
      <c r="C41" s="9" t="s">
        <v>62</v>
      </c>
      <c r="D41" s="15" t="s">
        <v>33</v>
      </c>
      <c r="E41" s="8"/>
      <c r="F41" s="12"/>
      <c r="G41" s="14">
        <v>-1.0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12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 t="s">
        <v>63</v>
      </c>
      <c r="B43" s="8"/>
      <c r="C43" s="8"/>
      <c r="D43" s="8"/>
      <c r="E43" s="8"/>
      <c r="F43" s="12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 t="s">
        <v>64</v>
      </c>
      <c r="B44" s="9" t="s">
        <v>65</v>
      </c>
      <c r="C44" s="9" t="s">
        <v>37</v>
      </c>
      <c r="D44" s="9" t="s">
        <v>38</v>
      </c>
      <c r="E44" s="8"/>
      <c r="F44" s="12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 t="s">
        <v>66</v>
      </c>
      <c r="B45" s="9" t="s">
        <v>67</v>
      </c>
      <c r="C45" s="9" t="s">
        <v>68</v>
      </c>
      <c r="D45" s="16" t="s">
        <v>57</v>
      </c>
      <c r="E45" s="19" t="s">
        <v>69</v>
      </c>
      <c r="F45" s="12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2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 t="s">
        <v>70</v>
      </c>
      <c r="B47" s="8"/>
      <c r="C47" s="8"/>
      <c r="D47" s="8"/>
      <c r="E47" s="8"/>
      <c r="F47" s="12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 t="s">
        <v>71</v>
      </c>
      <c r="B48" s="8"/>
      <c r="C48" s="8"/>
      <c r="D48" s="8"/>
      <c r="E48" s="8"/>
      <c r="F48" s="12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 t="s">
        <v>72</v>
      </c>
      <c r="B49" s="9" t="s">
        <v>19</v>
      </c>
      <c r="C49" s="9" t="s">
        <v>16</v>
      </c>
      <c r="D49" s="9" t="s">
        <v>17</v>
      </c>
      <c r="E49" s="8"/>
      <c r="F49" s="12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2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 t="s">
        <v>73</v>
      </c>
      <c r="B51" s="9" t="s">
        <v>74</v>
      </c>
      <c r="C51" s="9" t="s">
        <v>75</v>
      </c>
      <c r="D51" s="8"/>
      <c r="E51" s="17" t="s">
        <v>48</v>
      </c>
      <c r="F51" s="12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2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 t="s">
        <v>76</v>
      </c>
      <c r="B53" s="9" t="s">
        <v>46</v>
      </c>
      <c r="C53" s="20" t="s">
        <v>77</v>
      </c>
      <c r="D53" s="20" t="s">
        <v>78</v>
      </c>
      <c r="E53" s="8"/>
      <c r="F53" s="18" t="s">
        <v>79</v>
      </c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12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 t="s">
        <v>80</v>
      </c>
      <c r="B55" s="9" t="s">
        <v>46</v>
      </c>
      <c r="C55" s="9" t="s">
        <v>16</v>
      </c>
      <c r="D55" s="9" t="s">
        <v>17</v>
      </c>
      <c r="E55" s="8"/>
      <c r="F55" s="12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 t="s">
        <v>81</v>
      </c>
      <c r="B56" s="9" t="s">
        <v>46</v>
      </c>
      <c r="C56" s="9" t="s">
        <v>16</v>
      </c>
      <c r="D56" s="9" t="s">
        <v>17</v>
      </c>
      <c r="E56" s="8"/>
      <c r="F56" s="12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2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2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2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 t="s">
        <v>82</v>
      </c>
      <c r="B60" s="9" t="s">
        <v>19</v>
      </c>
      <c r="C60" s="8"/>
      <c r="D60" s="8"/>
      <c r="E60" s="8"/>
      <c r="F60" s="12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2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12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 t="s">
        <v>83</v>
      </c>
      <c r="B63" s="9" t="s">
        <v>84</v>
      </c>
      <c r="C63" s="21" t="s">
        <v>85</v>
      </c>
      <c r="D63" s="21" t="s">
        <v>38</v>
      </c>
      <c r="E63" s="9" t="s">
        <v>86</v>
      </c>
      <c r="F63" s="18" t="s">
        <v>87</v>
      </c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2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1" t="s">
        <v>88</v>
      </c>
      <c r="B65" s="8"/>
      <c r="C65" s="8"/>
      <c r="D65" s="8"/>
      <c r="E65" s="8"/>
      <c r="F65" s="12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 t="s">
        <v>89</v>
      </c>
      <c r="B66" s="9" t="s">
        <v>90</v>
      </c>
      <c r="C66" s="9" t="s">
        <v>91</v>
      </c>
      <c r="D66" s="15" t="s">
        <v>33</v>
      </c>
      <c r="E66" s="8"/>
      <c r="F66" s="12"/>
      <c r="G66" s="14">
        <v>-1.0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2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 t="s">
        <v>92</v>
      </c>
      <c r="B68" s="8"/>
      <c r="C68" s="8"/>
      <c r="D68" s="8"/>
      <c r="E68" s="8"/>
      <c r="F68" s="12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 t="s">
        <v>93</v>
      </c>
      <c r="B69" s="9" t="s">
        <v>94</v>
      </c>
      <c r="C69" s="9" t="s">
        <v>37</v>
      </c>
      <c r="D69" s="9" t="s">
        <v>38</v>
      </c>
      <c r="E69" s="8"/>
      <c r="F69" s="12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12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 t="s">
        <v>95</v>
      </c>
      <c r="B71" s="8"/>
      <c r="C71" s="8"/>
      <c r="D71" s="8"/>
      <c r="E71" s="8"/>
      <c r="F71" s="12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 t="s">
        <v>96</v>
      </c>
      <c r="B72" s="9" t="s">
        <v>94</v>
      </c>
      <c r="C72" s="9" t="s">
        <v>97</v>
      </c>
      <c r="D72" s="16" t="s">
        <v>57</v>
      </c>
      <c r="E72" s="19" t="s">
        <v>58</v>
      </c>
      <c r="F72" s="12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2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1" t="s">
        <v>98</v>
      </c>
      <c r="B74" s="8"/>
      <c r="C74" s="8"/>
      <c r="D74" s="8"/>
      <c r="E74" s="8"/>
      <c r="F74" s="12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 t="s">
        <v>99</v>
      </c>
      <c r="B75" s="9" t="s">
        <v>100</v>
      </c>
      <c r="C75" s="9" t="s">
        <v>101</v>
      </c>
      <c r="D75" s="16" t="s">
        <v>57</v>
      </c>
      <c r="E75" s="19" t="s">
        <v>102</v>
      </c>
      <c r="F75" s="12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2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1" t="s">
        <v>103</v>
      </c>
      <c r="B77" s="8"/>
      <c r="C77" s="8"/>
      <c r="D77" s="8"/>
      <c r="E77" s="8"/>
      <c r="F77" s="12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 t="s">
        <v>104</v>
      </c>
      <c r="B78" s="9" t="s">
        <v>105</v>
      </c>
      <c r="C78" s="9" t="s">
        <v>37</v>
      </c>
      <c r="D78" s="9" t="s">
        <v>38</v>
      </c>
      <c r="E78" s="8"/>
      <c r="F78" s="12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2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 t="s">
        <v>106</v>
      </c>
      <c r="B80" s="9" t="s">
        <v>107</v>
      </c>
      <c r="C80" s="9" t="s">
        <v>108</v>
      </c>
      <c r="D80" s="15" t="s">
        <v>33</v>
      </c>
      <c r="E80" s="8"/>
      <c r="F80" s="12"/>
      <c r="G80" s="14">
        <v>-1.0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2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 t="s">
        <v>109</v>
      </c>
      <c r="B82" s="9" t="s">
        <v>110</v>
      </c>
      <c r="C82" s="9" t="s">
        <v>111</v>
      </c>
      <c r="D82" s="16" t="s">
        <v>57</v>
      </c>
      <c r="E82" s="19" t="s">
        <v>58</v>
      </c>
      <c r="F82" s="12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2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1" t="s">
        <v>112</v>
      </c>
      <c r="B84" s="8"/>
      <c r="C84" s="8"/>
      <c r="D84" s="8"/>
      <c r="E84" s="8"/>
      <c r="F84" s="12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 t="s">
        <v>113</v>
      </c>
      <c r="B85" s="9" t="s">
        <v>114</v>
      </c>
      <c r="C85" s="9" t="s">
        <v>115</v>
      </c>
      <c r="D85" s="16" t="s">
        <v>57</v>
      </c>
      <c r="E85" s="19" t="s">
        <v>116</v>
      </c>
      <c r="F85" s="12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1" t="s">
        <v>117</v>
      </c>
      <c r="B86" s="8"/>
      <c r="C86" s="8"/>
      <c r="D86" s="8"/>
      <c r="E86" s="8"/>
      <c r="F86" s="12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 t="s">
        <v>118</v>
      </c>
      <c r="B87" s="9" t="s">
        <v>119</v>
      </c>
      <c r="C87" s="9" t="s">
        <v>37</v>
      </c>
      <c r="D87" s="9" t="s">
        <v>38</v>
      </c>
      <c r="E87" s="8"/>
      <c r="F87" s="12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2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1" t="s">
        <v>120</v>
      </c>
      <c r="B89" s="8"/>
      <c r="C89" s="8"/>
      <c r="D89" s="8"/>
      <c r="E89" s="8"/>
      <c r="F89" s="12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9" t="s">
        <v>121</v>
      </c>
      <c r="B90" s="9" t="s">
        <v>122</v>
      </c>
      <c r="C90" s="9" t="s">
        <v>37</v>
      </c>
      <c r="D90" s="9" t="s">
        <v>38</v>
      </c>
      <c r="E90" s="8"/>
      <c r="F90" s="12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2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2" t="s">
        <v>123</v>
      </c>
    </row>
    <row r="93">
      <c r="A93" s="9" t="s">
        <v>124</v>
      </c>
      <c r="B93" s="9" t="s">
        <v>125</v>
      </c>
      <c r="C93" s="9" t="s">
        <v>37</v>
      </c>
      <c r="D93" s="9" t="s">
        <v>38</v>
      </c>
      <c r="E93" s="8"/>
      <c r="F93" s="12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2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 t="s">
        <v>126</v>
      </c>
      <c r="B95" s="9" t="s">
        <v>127</v>
      </c>
      <c r="C95" s="9" t="s">
        <v>37</v>
      </c>
      <c r="D95" s="9" t="s">
        <v>38</v>
      </c>
      <c r="E95" s="8"/>
      <c r="F95" s="12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2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3" t="s">
        <v>128</v>
      </c>
      <c r="B97" s="23" t="s">
        <v>129</v>
      </c>
      <c r="C97" s="24"/>
      <c r="D97" s="23" t="s">
        <v>130</v>
      </c>
      <c r="E97" s="23" t="s">
        <v>131</v>
      </c>
      <c r="F97" s="25"/>
      <c r="G97" s="26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8"/>
      <c r="B98" s="8"/>
      <c r="C98" s="8"/>
      <c r="D98" s="8"/>
      <c r="E98" s="8"/>
      <c r="F98" s="12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9" t="s">
        <v>132</v>
      </c>
      <c r="B99" s="9" t="s">
        <v>133</v>
      </c>
      <c r="C99" s="8"/>
      <c r="D99" s="9" t="s">
        <v>134</v>
      </c>
      <c r="E99" s="8"/>
      <c r="F99" s="12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2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2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2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2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2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2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2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2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2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2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2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2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2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2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2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2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2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2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2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2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2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2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2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2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2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2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2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2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2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2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2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2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2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2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2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2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2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2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2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2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2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2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2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2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2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2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2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2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2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2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2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2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2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2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2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2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2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2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2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2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2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2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2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2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2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2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2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2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2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2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2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2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2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2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2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2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2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2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2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2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2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2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2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2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2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2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2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2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2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2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2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2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2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2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2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2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2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2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2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2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2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2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2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2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2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2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2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2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2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2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2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2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2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2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2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2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2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2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2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2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2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2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2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2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2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2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2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2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2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2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2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2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2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2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2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2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2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2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2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2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2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2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2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2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2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2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2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2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2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2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2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2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2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2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2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2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2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2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2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2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2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2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2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2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2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2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2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2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2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2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2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2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2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2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2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2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2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2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2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2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2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2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2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2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2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7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7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7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7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7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7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7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7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7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7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7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7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7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7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7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7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7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7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7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7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7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7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7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7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7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7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7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7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7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7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7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7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7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7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7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7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7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7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7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7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7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7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7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7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7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7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7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7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7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7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7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7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7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7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7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7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7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7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7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7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7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7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7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7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7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7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7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7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7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7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7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7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7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7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7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7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7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7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7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7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7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7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7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7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7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7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7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7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7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7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7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7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7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7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7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7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7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7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7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7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7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7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7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7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7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7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7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7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7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7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7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7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7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7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7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7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7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7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7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7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7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7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7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7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7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7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7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7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7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7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7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7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7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7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7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7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7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7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7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7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7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7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7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7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7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7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7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7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7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7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7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7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7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7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7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7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7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7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7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7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7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7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7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7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7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7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7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7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7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7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7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7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7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7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7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7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7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7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7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7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7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7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7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7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7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7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7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7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7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7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7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7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7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7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7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7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7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7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7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7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7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7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7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7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7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7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7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7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7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7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7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7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7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7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7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7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7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7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7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7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7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7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7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7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7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7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7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7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7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7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7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7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7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7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7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7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7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7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7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7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7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7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7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7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7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7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7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7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7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7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7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7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7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7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7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7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7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7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7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7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7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7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7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7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7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7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7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7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7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7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7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7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7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7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7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7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7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7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7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7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7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7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7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7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7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7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7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7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7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7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7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7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7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7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7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7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7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7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7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7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7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7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7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7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7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7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7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7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7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7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7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7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7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7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7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7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7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7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7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7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7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7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7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7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7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7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7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7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7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7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7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7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7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7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7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7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7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7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7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7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7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7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7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7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7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7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7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7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7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7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7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7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7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7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7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7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7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7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7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7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7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7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7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7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7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7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7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7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7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7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7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7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7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7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7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7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7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7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7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7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7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7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7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7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7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7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7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7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7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7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7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7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7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7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7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7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7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7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7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7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7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7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7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7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7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7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7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7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7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7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7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7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7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7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7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7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7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7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7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7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7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7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7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7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7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7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7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7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7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7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7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7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7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7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7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7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7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7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7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7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7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7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7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7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7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7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7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7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7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7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7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27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27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27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27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27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27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27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27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27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27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27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27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27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27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27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27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</sheetData>
  <mergeCells count="4">
    <mergeCell ref="A1:B1"/>
    <mergeCell ref="C1:D1"/>
    <mergeCell ref="E4:F7"/>
    <mergeCell ref="A92:Z92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24.63"/>
    <col customWidth="1" min="6" max="6" width="18.0"/>
    <col customWidth="1" min="8" max="8" width="20.25"/>
    <col customWidth="1" min="10" max="10" width="23.75"/>
  </cols>
  <sheetData>
    <row r="1">
      <c r="A1" s="28"/>
      <c r="B1" s="28"/>
      <c r="C1" s="28"/>
      <c r="D1" s="29" t="s">
        <v>135</v>
      </c>
      <c r="E1" s="28"/>
      <c r="F1" s="29" t="s">
        <v>136</v>
      </c>
      <c r="G1" s="28"/>
      <c r="H1" s="29" t="s">
        <v>137</v>
      </c>
      <c r="I1" s="28"/>
      <c r="J1" s="29" t="s">
        <v>138</v>
      </c>
      <c r="K1" s="28"/>
      <c r="L1" s="28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28"/>
      <c r="B3" s="28"/>
      <c r="C3" s="28"/>
      <c r="D3" s="28"/>
      <c r="E3" s="28"/>
      <c r="F3" s="28"/>
      <c r="G3" s="28"/>
      <c r="H3" s="28"/>
      <c r="I3" s="28"/>
      <c r="J3" s="31" t="s">
        <v>139</v>
      </c>
      <c r="K3" s="28"/>
      <c r="L3" s="28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8" t="s">
        <v>140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8"/>
      <c r="B5" s="28"/>
      <c r="C5" s="28"/>
      <c r="D5" s="32"/>
      <c r="E5" s="28"/>
      <c r="F5" s="28"/>
      <c r="G5" s="28"/>
      <c r="H5" s="28"/>
      <c r="I5" s="28"/>
      <c r="J5" s="33"/>
      <c r="K5" s="28"/>
      <c r="L5" s="28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28"/>
      <c r="B6" s="28"/>
      <c r="C6" s="28"/>
      <c r="D6" s="32"/>
      <c r="E6" s="28"/>
      <c r="F6" s="28"/>
      <c r="G6" s="28"/>
      <c r="H6" s="28"/>
      <c r="I6" s="28"/>
      <c r="J6" s="33"/>
      <c r="K6" s="28"/>
      <c r="L6" s="28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8"/>
      <c r="B7" s="28"/>
      <c r="C7" s="28"/>
      <c r="D7" s="34">
        <v>193446.0</v>
      </c>
      <c r="E7" s="28"/>
      <c r="F7" s="28"/>
      <c r="G7" s="28"/>
      <c r="H7" s="28"/>
      <c r="I7" s="28"/>
      <c r="J7" s="35"/>
      <c r="K7" s="28"/>
      <c r="L7" s="28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28"/>
      <c r="B8" s="28"/>
      <c r="C8" s="28"/>
      <c r="D8" s="34"/>
      <c r="E8" s="28"/>
      <c r="F8" s="36">
        <f>sum(D5:D13)-SUM(J5:J13)</f>
        <v>193446</v>
      </c>
      <c r="G8" s="28"/>
      <c r="H8" s="28"/>
      <c r="I8" s="28"/>
      <c r="J8" s="35">
        <v>0.0</v>
      </c>
      <c r="K8" s="28"/>
      <c r="L8" s="28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8"/>
      <c r="B9" s="28"/>
      <c r="C9" s="28"/>
      <c r="D9" s="34"/>
      <c r="E9" s="28"/>
      <c r="F9" s="28"/>
      <c r="G9" s="28"/>
      <c r="H9" s="28"/>
      <c r="I9" s="28"/>
      <c r="J9" s="35"/>
      <c r="K9" s="28"/>
      <c r="L9" s="28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8"/>
      <c r="B10" s="28"/>
      <c r="C10" s="28"/>
      <c r="D10" s="34"/>
      <c r="E10" s="28"/>
      <c r="F10" s="28"/>
      <c r="G10" s="28"/>
      <c r="H10" s="28"/>
      <c r="I10" s="28"/>
      <c r="J10" s="37"/>
      <c r="K10" s="28"/>
      <c r="L10" s="28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8"/>
      <c r="B11" s="28"/>
      <c r="C11" s="28"/>
      <c r="D11" s="34"/>
      <c r="E11" s="28"/>
      <c r="F11" s="28"/>
      <c r="G11" s="28"/>
      <c r="H11" s="28"/>
      <c r="I11" s="28"/>
      <c r="J11" s="37"/>
      <c r="K11" s="28"/>
      <c r="L11" s="28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8"/>
      <c r="B12" s="28"/>
      <c r="C12" s="28"/>
      <c r="D12" s="34"/>
      <c r="E12" s="28"/>
      <c r="F12" s="28"/>
      <c r="G12" s="28"/>
      <c r="H12" s="28"/>
      <c r="I12" s="28"/>
      <c r="J12" s="33"/>
      <c r="K12" s="28"/>
      <c r="L12" s="28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8"/>
      <c r="B13" s="28"/>
      <c r="C13" s="28"/>
      <c r="D13" s="38"/>
      <c r="E13" s="28"/>
      <c r="F13" s="28"/>
      <c r="G13" s="28"/>
      <c r="H13" s="28"/>
      <c r="I13" s="28"/>
      <c r="J13" s="33"/>
      <c r="K13" s="28"/>
      <c r="L13" s="28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9"/>
      <c r="B16" s="39" t="s">
        <v>141</v>
      </c>
      <c r="C16" s="39"/>
      <c r="D16" s="36">
        <f>F8</f>
        <v>193446</v>
      </c>
      <c r="E16" s="39"/>
      <c r="F16" s="39"/>
      <c r="G16" s="39"/>
      <c r="H16" s="36">
        <f t="shared" ref="H16:H19" si="1">(F16*D$16)/ 100</f>
        <v>0</v>
      </c>
      <c r="I16" s="39"/>
      <c r="J16" s="39"/>
      <c r="K16" s="39"/>
      <c r="L16" s="3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9"/>
      <c r="B17" s="39"/>
      <c r="C17" s="39"/>
      <c r="D17" s="39"/>
      <c r="E17" s="39"/>
      <c r="F17" s="39"/>
      <c r="G17" s="39"/>
      <c r="H17" s="36">
        <f t="shared" si="1"/>
        <v>0</v>
      </c>
      <c r="I17" s="39"/>
      <c r="J17" s="39"/>
      <c r="K17" s="39"/>
      <c r="L17" s="3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9"/>
      <c r="B18" s="39"/>
      <c r="C18" s="39"/>
      <c r="D18" s="39"/>
      <c r="E18" s="39"/>
      <c r="F18" s="40">
        <v>0.21</v>
      </c>
      <c r="G18" s="39"/>
      <c r="H18" s="36">
        <f t="shared" si="1"/>
        <v>406.2366</v>
      </c>
      <c r="I18" s="39"/>
      <c r="J18" s="39"/>
      <c r="K18" s="39"/>
      <c r="L18" s="3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9"/>
      <c r="B19" s="39"/>
      <c r="C19" s="39"/>
      <c r="D19" s="39"/>
      <c r="E19" s="39"/>
      <c r="F19" s="39"/>
      <c r="G19" s="39"/>
      <c r="H19" s="36">
        <f t="shared" si="1"/>
        <v>0</v>
      </c>
      <c r="I19" s="39"/>
      <c r="J19" s="39"/>
      <c r="K19" s="39"/>
      <c r="L19" s="3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9"/>
      <c r="B21" s="39"/>
      <c r="C21" s="39"/>
      <c r="D21" s="39"/>
      <c r="E21" s="39"/>
      <c r="F21" s="41">
        <f>H21*100/(D16)</f>
        <v>0</v>
      </c>
      <c r="G21" s="39"/>
      <c r="H21" s="39"/>
      <c r="I21" s="39"/>
      <c r="J21" s="39"/>
      <c r="K21" s="39"/>
      <c r="L21" s="3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28"/>
      <c r="B25" s="28" t="s">
        <v>142</v>
      </c>
      <c r="C25" s="28"/>
      <c r="D25" s="42">
        <f>D16</f>
        <v>193446</v>
      </c>
      <c r="E25" s="28"/>
      <c r="F25" s="28"/>
      <c r="G25" s="28"/>
      <c r="H25" s="36">
        <f t="shared" ref="H25:H28" si="2">(F25*D$25)/ 100</f>
        <v>0</v>
      </c>
      <c r="I25" s="28"/>
      <c r="J25" s="28"/>
      <c r="K25" s="28"/>
      <c r="L25" s="28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28"/>
      <c r="B26" s="28"/>
      <c r="C26" s="28"/>
      <c r="D26" s="28"/>
      <c r="E26" s="28"/>
      <c r="F26" s="28"/>
      <c r="G26" s="28"/>
      <c r="H26" s="36">
        <f t="shared" si="2"/>
        <v>0</v>
      </c>
      <c r="I26" s="28"/>
      <c r="J26" s="28"/>
      <c r="K26" s="28"/>
      <c r="L26" s="28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28"/>
      <c r="B27" s="28"/>
      <c r="C27" s="28"/>
      <c r="D27" s="28"/>
      <c r="E27" s="28"/>
      <c r="F27" s="31">
        <v>10.0</v>
      </c>
      <c r="G27" s="28"/>
      <c r="H27" s="36">
        <f t="shared" si="2"/>
        <v>19344.6</v>
      </c>
      <c r="I27" s="28"/>
      <c r="J27" s="28"/>
      <c r="K27" s="28"/>
      <c r="L27" s="28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28"/>
      <c r="B28" s="28"/>
      <c r="C28" s="28"/>
      <c r="D28" s="28"/>
      <c r="E28" s="28"/>
      <c r="F28" s="28"/>
      <c r="G28" s="28"/>
      <c r="H28" s="36">
        <f t="shared" si="2"/>
        <v>0</v>
      </c>
      <c r="I28" s="28"/>
      <c r="J28" s="28"/>
      <c r="K28" s="28"/>
      <c r="L28" s="28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28"/>
      <c r="B30" s="28"/>
      <c r="C30" s="28"/>
      <c r="D30" s="28"/>
      <c r="E30" s="28"/>
      <c r="F30" s="41">
        <f>H30*100/(D25)</f>
        <v>3.51519287</v>
      </c>
      <c r="G30" s="28"/>
      <c r="H30" s="28">
        <v>6800.0</v>
      </c>
      <c r="I30" s="28"/>
      <c r="J30" s="28"/>
      <c r="K30" s="28"/>
      <c r="L30" s="28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1">
    <mergeCell ref="A4:L4"/>
  </mergeCells>
  <drawing r:id="rId1"/>
</worksheet>
</file>