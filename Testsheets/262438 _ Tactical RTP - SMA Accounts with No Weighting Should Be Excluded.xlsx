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</sheets>
  <definedNames/>
  <calcPr/>
</workbook>
</file>

<file path=xl/sharedStrings.xml><?xml version="1.0" encoding="utf-8"?>
<sst xmlns="http://schemas.openxmlformats.org/spreadsheetml/2006/main" count="75" uniqueCount="44">
  <si>
    <t>https://dev.azure.com/orionadvisor/OAT/_workitems/edit/262438</t>
  </si>
  <si>
    <t>Developer - Harshdeep Singh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</si>
  <si>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</si>
  <si>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</si>
  <si>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</si>
  <si>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</si>
  <si>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</si>
  <si>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</si>
  <si>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</si>
  <si>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</si>
  <si>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Portfolio with only SMA account</t>
  </si>
  <si>
    <t>Firm 1000 &gt; PID 838 &gt; SMA AID 267  &gt; Open Account &gt; actions &gt; SMA weightage &gt; remove all weightage &gt; save &gt; PID 838 &gt; tactical tool &gt; Account and cash details &gt; Select account &gt; check managed and excluded value of SMA account.</t>
  </si>
  <si>
    <t>Excluded amount should be 100 % of SMA account value while managed value shoule be 0.</t>
  </si>
  <si>
    <t>Error: [REBAL] : Can't run rebalancer Portfolio Worth became zero/negative after SMA worth(whose weighting is not defined) and no normal account is there to run on.</t>
  </si>
  <si>
    <t>PASS</t>
  </si>
  <si>
    <t>Firm 1000 &gt; PID 838 &gt; SMA AID 267  &gt; Open Account &gt; actions &gt; SMA weightage &gt; Set weightage on node &gt; save &gt; PID 838 &gt; tactical tool &gt; Account and cash details &gt; Select account &gt; check managed and excluded value of SMA account.</t>
  </si>
  <si>
    <t>Managed value should be 100 % of account value while excluded value should be 0.</t>
  </si>
  <si>
    <t>Working as Expected.</t>
  </si>
  <si>
    <t>Assign normal account ID 261 to Portfolio 838 &gt; Same as above &gt; remove all weightage &gt; save &gt; check valus in TT.</t>
  </si>
  <si>
    <t>PASS**</t>
  </si>
  <si>
    <t>Set SMA weightage to submodel node &gt; save &gt; check values in TT.</t>
  </si>
  <si>
    <t>Portfolio with Multiple SMA Account and normal  account.</t>
  </si>
  <si>
    <t>firm 1000 &gt; PID 1950 &gt; SMA AID 282 &gt; Open Account &gt; actions &gt; SMA weightage &gt; remove all weightage &gt; save &gt; PID 1950 &gt; tactical tool &gt; Account and cash details &gt; Select account &gt; check managed and excluded value of SMA account.</t>
  </si>
  <si>
    <t>firm 1000 &gt; PID 1950 &gt; SMA AID 282 &gt; Open Account &gt; actions &gt; SMA weightage &gt; Set weightage for category node 100 % &gt; save &gt; PID 1950 &gt; tactical tool &gt; Account and cash details &gt; Select account &gt; check managed and excluded value of SMA account.</t>
  </si>
  <si>
    <t>firm 1000 &gt; PID 1950 &gt; SMA AID 282 &gt; Open Account &gt; actions &gt; SMA weightage &gt; Set weightage for multiple category node 50, 50 % &gt; save &gt; PID 1950 &gt; tactical tool &gt; Account and cash details &gt; Select account &gt; check managed and excluded value of SMA account.</t>
  </si>
  <si>
    <t>Managed value should be 100 % of account value while excluded value should be 0.
Sum of current $ of SMA nodes should be equal to account managed value in model tol.</t>
  </si>
  <si>
    <t>firm 1000 &gt; PID 1950 &gt; SMA AID 282, 29, 776 &gt; Open Account &gt; actions &gt; SMA weightage &gt; Set weightage for same node 100 % &gt; save &gt; PID 1950 &gt; tactical tool &gt; Account and cash details &gt; Select account &gt; check managed and excluded value of SMA account.</t>
  </si>
  <si>
    <t>Managed value of all SMA accounts should be equal to current $ of SAM node present in model tol.</t>
  </si>
  <si>
    <r>
      <rPr>
        <rFont val="Arial"/>
        <color theme="1"/>
      </rPr>
      <t xml:space="preserve">firm 1000 &gt; PID 1950 &gt; SMA AID 776 &gt; Open Account &gt; actions &gt; SMA weightage &gt; Set weightage for two category nodes 50 % each &gt; one category node is excluded due to only one security present in SS and </t>
    </r>
    <r>
      <rPr>
        <rFont val="Arial"/>
        <b/>
        <color theme="1"/>
      </rPr>
      <t>price of that security is null/Zero</t>
    </r>
    <r>
      <rPr>
        <rFont val="Arial"/>
        <color theme="1"/>
      </rPr>
      <t xml:space="preserve"> &gt; save &gt; PID 1950 &gt; tactical tool &gt; Account and cash details &gt; Select account &gt; check managed and excluded value of SMA account.</t>
    </r>
  </si>
  <si>
    <t>Managed value should be 100 % of account value while excluded value should be 0.
Holding amount of Excluded SMA node should be pro-rated in another SMA node.</t>
  </si>
  <si>
    <t>Managed value of SMA account is equal to account value, only one SMA node created with 50 % of current $ another SMA node excluded without prorated its holding in another one.</t>
  </si>
  <si>
    <t>FAIL</t>
  </si>
  <si>
    <t>Not related to ticket.</t>
  </si>
  <si>
    <t>Set aside cash / Reserve + Billing $</t>
  </si>
  <si>
    <t>firm 1000 &gt; PID 1950 &gt; SMA AID 282, 29, 776 &gt; Open Account &gt; actions &gt; SMA weightage &gt; Set weightage for same node 100 % &gt; save &gt; PID 1950 &gt; tactical tool &gt; Account and cash details &gt; Select account &gt; Set aside cash for SMA account &gt; Save &gt; check managed and excluded value of SMA account.</t>
  </si>
  <si>
    <t>Set aside value should be excluded from account managed value and current $ of SMA node from model tol.</t>
  </si>
  <si>
    <t>SMA account cash value is 0 | Reserve Cash Replenish : Enable</t>
  </si>
  <si>
    <t>Set reserve cash at Team level &gt; save &gt; TT &gt; check managed and excluded value of SMA account.</t>
  </si>
  <si>
    <t>Reserve cash should be excluded from managed value of account and current $ from model tol.</t>
  </si>
  <si>
    <t>Parent</t>
  </si>
  <si>
    <t>Cat</t>
  </si>
  <si>
    <t>Class</t>
  </si>
  <si>
    <t>Sub</t>
  </si>
  <si>
    <t>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</si>
</sst>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b/>
      <sz val="13.0"/>
      <color theme="1"/>
      <name val="Arial"/>
    </font>
    <font>
      <color theme="1"/>
      <name val="Arial"/>
    </font>
    <font>
      <b/>
      <color rgb="FF000000"/>
      <name val="Arial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sz val="12.0"/>
      <color rgb="FFD1D4DC"/>
      <name val="Inte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6" numFmtId="0" xfId="0" applyAlignment="1" applyFill="1" applyFont="1">
      <alignment horizontal="left" readingOrder="0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2" fontId="9" numFmtId="0" xfId="0" applyAlignment="1" applyFont="1">
      <alignment horizontal="left" readingOrder="0" shrinkToFit="0" vertical="center" wrapText="1"/>
    </xf>
    <xf borderId="0" fillId="3" fontId="7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10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62438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8" t="s">
        <v>8</v>
      </c>
      <c r="G3" s="2" t="s">
        <v>9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9" t="s">
        <v>10</v>
      </c>
      <c r="B4" s="10"/>
      <c r="C4" s="10"/>
      <c r="D4" s="10"/>
      <c r="E4" s="11"/>
      <c r="F4" s="12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0" t="s">
        <v>11</v>
      </c>
      <c r="B5" s="10" t="s">
        <v>12</v>
      </c>
      <c r="C5" s="10" t="s">
        <v>13</v>
      </c>
      <c r="D5" s="10" t="s">
        <v>14</v>
      </c>
      <c r="E5" s="11"/>
      <c r="F5" s="12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0"/>
      <c r="B6" s="10"/>
      <c r="C6" s="10"/>
      <c r="D6" s="10"/>
      <c r="E6" s="11"/>
      <c r="F6" s="12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0" t="s">
        <v>15</v>
      </c>
      <c r="B7" s="10" t="s">
        <v>16</v>
      </c>
      <c r="C7" s="10" t="s">
        <v>17</v>
      </c>
      <c r="D7" s="10" t="s">
        <v>14</v>
      </c>
      <c r="E7" s="11"/>
      <c r="F7" s="12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0"/>
      <c r="B8" s="10"/>
      <c r="C8" s="10"/>
      <c r="D8" s="10"/>
      <c r="E8" s="11"/>
      <c r="F8" s="12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0" t="s">
        <v>18</v>
      </c>
      <c r="B9" s="10" t="s">
        <v>12</v>
      </c>
      <c r="C9" s="10" t="s">
        <v>17</v>
      </c>
      <c r="D9" s="10" t="s">
        <v>19</v>
      </c>
      <c r="E9" s="11"/>
      <c r="F9" s="12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0" t="s">
        <v>20</v>
      </c>
      <c r="B10" s="10" t="s">
        <v>16</v>
      </c>
      <c r="C10" s="10" t="s">
        <v>17</v>
      </c>
      <c r="D10" s="10" t="s">
        <v>14</v>
      </c>
      <c r="E10" s="11"/>
      <c r="F10" s="12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0"/>
      <c r="B11" s="10"/>
      <c r="C11" s="10"/>
      <c r="D11" s="10"/>
      <c r="E11" s="11"/>
      <c r="F11" s="12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3" t="s">
        <v>21</v>
      </c>
      <c r="B12" s="10"/>
      <c r="C12" s="10"/>
      <c r="D12" s="10"/>
      <c r="E12" s="11"/>
      <c r="F12" s="12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0" t="s">
        <v>22</v>
      </c>
      <c r="B13" s="10" t="s">
        <v>12</v>
      </c>
      <c r="C13" s="10" t="s">
        <v>17</v>
      </c>
      <c r="D13" s="10" t="s">
        <v>14</v>
      </c>
      <c r="E13" s="11"/>
      <c r="F13" s="12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1"/>
      <c r="D14" s="11"/>
      <c r="E14" s="11"/>
      <c r="F14" s="12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0" t="s">
        <v>23</v>
      </c>
      <c r="B15" s="10" t="s">
        <v>16</v>
      </c>
      <c r="C15" s="10" t="s">
        <v>17</v>
      </c>
      <c r="D15" s="10" t="s">
        <v>14</v>
      </c>
      <c r="E15" s="11"/>
      <c r="F15" s="12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2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0" t="s">
        <v>24</v>
      </c>
      <c r="B17" s="10" t="s">
        <v>25</v>
      </c>
      <c r="C17" s="10" t="s">
        <v>17</v>
      </c>
      <c r="D17" s="10" t="s">
        <v>14</v>
      </c>
      <c r="E17" s="11"/>
      <c r="F17" s="12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2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0" t="s">
        <v>26</v>
      </c>
      <c r="B19" s="10" t="s">
        <v>27</v>
      </c>
      <c r="C19" s="10" t="s">
        <v>17</v>
      </c>
      <c r="D19" s="10" t="s">
        <v>14</v>
      </c>
      <c r="E19" s="11"/>
      <c r="F19" s="12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2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0" t="s">
        <v>28</v>
      </c>
      <c r="B21" s="10" t="s">
        <v>29</v>
      </c>
      <c r="C21" s="14" t="s">
        <v>30</v>
      </c>
      <c r="D21" s="14" t="s">
        <v>31</v>
      </c>
      <c r="E21" s="15" t="s">
        <v>32</v>
      </c>
      <c r="F21" s="12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2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3" t="s">
        <v>33</v>
      </c>
      <c r="B23" s="10"/>
      <c r="C23" s="11"/>
      <c r="D23" s="11"/>
      <c r="E23" s="11"/>
      <c r="F23" s="12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0" t="s">
        <v>34</v>
      </c>
      <c r="B24" s="10" t="s">
        <v>35</v>
      </c>
      <c r="C24" s="10" t="s">
        <v>17</v>
      </c>
      <c r="D24" s="10" t="s">
        <v>14</v>
      </c>
      <c r="E24" s="11"/>
      <c r="F24" s="12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2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3" t="s">
        <v>36</v>
      </c>
      <c r="B26" s="11"/>
      <c r="C26" s="11"/>
      <c r="D26" s="11"/>
      <c r="E26" s="11"/>
      <c r="F26" s="12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0" t="s">
        <v>37</v>
      </c>
      <c r="B27" s="10" t="s">
        <v>38</v>
      </c>
      <c r="C27" s="10" t="s">
        <v>17</v>
      </c>
      <c r="D27" s="10" t="s">
        <v>14</v>
      </c>
      <c r="E27" s="11"/>
      <c r="F27" s="12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2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2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2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2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2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2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2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2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2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2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2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2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2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2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2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2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2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2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2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2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2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2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2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2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2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2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2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2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2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2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2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2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2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2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2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2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2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2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2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2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2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2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2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2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2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2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2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2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2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2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2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2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2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2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2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2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2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2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2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2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2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2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2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2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2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2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2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2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2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2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2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2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2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2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2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2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2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2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2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2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2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2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2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2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2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2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2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2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2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2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2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2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2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2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2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2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2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2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2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2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2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2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2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2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2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2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2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2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2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2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2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2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2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2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2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2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2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2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2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2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2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2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2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2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2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2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2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2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2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2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2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2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2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2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2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2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2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2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2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2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2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2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2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2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2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2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2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2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2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2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2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2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2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2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2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2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2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2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2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2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2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2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2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2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2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2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2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2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2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2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2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2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2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2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2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2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2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2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2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2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2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2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2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2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2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2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2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2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2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2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2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2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2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2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2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2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2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2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2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2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2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2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2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2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2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2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2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2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2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2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2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2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2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2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2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2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2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2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2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2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2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2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2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2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2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2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2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2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2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2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2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2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2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2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2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2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2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2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2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2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2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2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2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2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2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2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2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2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2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2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2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2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2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2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2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2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2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2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2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2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2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2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2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2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2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2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2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2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2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2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2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2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2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2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2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2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2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2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2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2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2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2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2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2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2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2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2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2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2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2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2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2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2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2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2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2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2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2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2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2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2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2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2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2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2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2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2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2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2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2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2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2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2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2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2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2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2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2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2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2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2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2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2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2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2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2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2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2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2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2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2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2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2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2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2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2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2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2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2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2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2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2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2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2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2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2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2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2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2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2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2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2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2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2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2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2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2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2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2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2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2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2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2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2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2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2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2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2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2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2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2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2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2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2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2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2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2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2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2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2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2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2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2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2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2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2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2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2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2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2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2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2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2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2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2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2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2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2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2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2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2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2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2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2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2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2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2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2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2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2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2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2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2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2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2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2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2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2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2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2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2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2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2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2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2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2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2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2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2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2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2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2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2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2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2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2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2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2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2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2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2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2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2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2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2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2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2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2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2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2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2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2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2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2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2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2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2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2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2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2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2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2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2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2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2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2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2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2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2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2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2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2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2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2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2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2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2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2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2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2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2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2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2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2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2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2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2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2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2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2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2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2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2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2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2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2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2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2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2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2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2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2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2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2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2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2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2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2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2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2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2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2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2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2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2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2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2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2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2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2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2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2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2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2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2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2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2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2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2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2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2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2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2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2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2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2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2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2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2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2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2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2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2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2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2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2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2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2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2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2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2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2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2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2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2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2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2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2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2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2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2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2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2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2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2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2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2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2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2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2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2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2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2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2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2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2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2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2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2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2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2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2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2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2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2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2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2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2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2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2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2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2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2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2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2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2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2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2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2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2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2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2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2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2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2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2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2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2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2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2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2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2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2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2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2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2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2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2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2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2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2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2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2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2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2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2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2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2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2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2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2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2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2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2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2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2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2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2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2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2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2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2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2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2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2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2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2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2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2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2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2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2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2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2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2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2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2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2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2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2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2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2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2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2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2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2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2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2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2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2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2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2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2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2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2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2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2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2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2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2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2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2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2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2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2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2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2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2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2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2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2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2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2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2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2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2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2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2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2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2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</sheetData>
  <mergeCells count="2">
    <mergeCell ref="A1:B1"/>
    <mergeCell ref="C1:D1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6"/>
      <c r="B4" s="16"/>
      <c r="C4" s="16"/>
      <c r="D4" s="16"/>
      <c r="E4" s="16"/>
      <c r="F4" s="16"/>
      <c r="G4" s="16"/>
      <c r="H4" s="17" t="s">
        <v>39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6"/>
      <c r="B5" s="16"/>
      <c r="C5" s="16"/>
      <c r="D5" s="16"/>
      <c r="E5" s="16"/>
      <c r="F5" s="16"/>
      <c r="G5" s="16"/>
      <c r="H5" s="18">
        <v>6803120.86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6"/>
      <c r="B7" s="16"/>
      <c r="C7" s="16"/>
      <c r="D7" s="16"/>
      <c r="E7" s="17" t="s">
        <v>40</v>
      </c>
      <c r="F7" s="16"/>
      <c r="H7" s="16"/>
      <c r="I7" s="16"/>
      <c r="J7" s="16"/>
      <c r="K7" s="17" t="s">
        <v>40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/>
      <c r="B8" s="16"/>
      <c r="C8" s="16"/>
      <c r="D8" s="16"/>
      <c r="E8" s="17">
        <v>90.0</v>
      </c>
      <c r="F8" s="16"/>
      <c r="G8" s="16"/>
      <c r="H8" s="16"/>
      <c r="I8" s="16"/>
      <c r="J8" s="16"/>
      <c r="K8" s="17">
        <v>10.0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/>
      <c r="B9" s="16"/>
      <c r="C9" s="16"/>
      <c r="D9" s="16"/>
      <c r="E9" s="16">
        <f>H5*E8/100</f>
        <v>6122808.774</v>
      </c>
      <c r="F9" s="16"/>
      <c r="G9" s="16"/>
      <c r="H9" s="16"/>
      <c r="I9" s="16"/>
      <c r="J9" s="16"/>
      <c r="K9" s="16">
        <f>H5*K8/100</f>
        <v>680312.086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/>
      <c r="B12" s="16"/>
      <c r="C12" s="17" t="s">
        <v>41</v>
      </c>
      <c r="D12" s="16"/>
      <c r="E12" s="16"/>
      <c r="F12" s="17" t="s">
        <v>41</v>
      </c>
      <c r="H12" s="16"/>
      <c r="J12" s="16"/>
      <c r="K12" s="17" t="s">
        <v>41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/>
      <c r="B13" s="16"/>
      <c r="C13" s="17">
        <v>60.0</v>
      </c>
      <c r="D13" s="16"/>
      <c r="E13" s="16"/>
      <c r="F13" s="17">
        <v>40.0</v>
      </c>
      <c r="H13" s="16"/>
      <c r="I13" s="16"/>
      <c r="J13" s="16"/>
      <c r="K13" s="17">
        <v>100.0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/>
      <c r="B14" s="16"/>
      <c r="C14" s="16">
        <f>E9*60/100</f>
        <v>3673685.264</v>
      </c>
      <c r="D14" s="16"/>
      <c r="E14" s="16"/>
      <c r="F14" s="16">
        <f>E9*F13/100</f>
        <v>2449123.51</v>
      </c>
      <c r="H14" s="16"/>
      <c r="I14" s="16"/>
      <c r="J14" s="16"/>
      <c r="K14" s="16">
        <f>K9*K13/100</f>
        <v>680312.086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16"/>
      <c r="C15" s="16"/>
      <c r="D15" s="16"/>
      <c r="E15" s="16"/>
      <c r="F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6"/>
      <c r="C16" s="16"/>
      <c r="D16" s="16"/>
      <c r="E16" s="16"/>
      <c r="F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7"/>
      <c r="C17" s="17" t="s">
        <v>42</v>
      </c>
      <c r="E17" s="16"/>
      <c r="F17" s="17" t="s">
        <v>42</v>
      </c>
      <c r="G17" s="17"/>
      <c r="H17" s="16"/>
      <c r="I17" s="17" t="s">
        <v>42</v>
      </c>
      <c r="K17" s="16"/>
      <c r="L17" s="17" t="s">
        <v>42</v>
      </c>
      <c r="M17" s="17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6"/>
      <c r="C18" s="17">
        <v>100.0</v>
      </c>
      <c r="E18" s="16"/>
      <c r="F18" s="17">
        <v>100.0</v>
      </c>
      <c r="G18" s="17"/>
      <c r="H18" s="16"/>
      <c r="I18" s="17">
        <v>60.0</v>
      </c>
      <c r="K18" s="16"/>
      <c r="L18" s="17">
        <v>40.0</v>
      </c>
      <c r="M18" s="17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6"/>
      <c r="C19" s="16">
        <f>C14*C18/100</f>
        <v>3673685.264</v>
      </c>
      <c r="E19" s="16"/>
      <c r="F19" s="16">
        <f>F18*F14/100</f>
        <v>2449123.51</v>
      </c>
      <c r="G19" s="16"/>
      <c r="H19" s="16"/>
      <c r="I19" s="16">
        <f>K14*I18/100</f>
        <v>408187.2516</v>
      </c>
      <c r="K19" s="16"/>
      <c r="L19" s="16">
        <f>L18*K14/100</f>
        <v>272124.8344</v>
      </c>
      <c r="M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6"/>
      <c r="C20" s="16"/>
      <c r="E20" s="16"/>
      <c r="F20" s="16"/>
      <c r="G20" s="16"/>
      <c r="H20" s="16"/>
      <c r="I20" s="16"/>
      <c r="K20" s="16"/>
      <c r="L20" s="16"/>
      <c r="M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E21" s="16"/>
      <c r="F21" s="16"/>
      <c r="G21" s="16"/>
      <c r="H21" s="16"/>
      <c r="I21" s="16"/>
      <c r="K21" s="16"/>
      <c r="L21" s="16"/>
      <c r="M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6"/>
      <c r="C22" s="16"/>
      <c r="E22" s="16"/>
      <c r="F22" s="16"/>
      <c r="G22" s="16"/>
      <c r="H22" s="16"/>
      <c r="I22" s="16"/>
      <c r="K22" s="16"/>
      <c r="L22" s="16"/>
      <c r="M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7"/>
      <c r="C23" s="17" t="s">
        <v>43</v>
      </c>
      <c r="E23" s="17" t="s">
        <v>43</v>
      </c>
      <c r="G23" s="17" t="s">
        <v>43</v>
      </c>
      <c r="H23" s="16"/>
      <c r="I23" s="17" t="s">
        <v>43</v>
      </c>
      <c r="K23" s="17" t="s">
        <v>43</v>
      </c>
      <c r="M23" s="17" t="s">
        <v>43</v>
      </c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7">
        <v>100.0</v>
      </c>
      <c r="D24" s="16"/>
      <c r="E24" s="17">
        <v>50.0</v>
      </c>
      <c r="F24" s="16"/>
      <c r="G24" s="17">
        <v>50.0</v>
      </c>
      <c r="H24" s="16"/>
      <c r="I24" s="17">
        <v>100.0</v>
      </c>
      <c r="J24" s="16"/>
      <c r="K24" s="17">
        <v>50.0</v>
      </c>
      <c r="L24" s="16"/>
      <c r="M24" s="17">
        <v>50.0</v>
      </c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>
        <f>C19*C24/100</f>
        <v>3673685.264</v>
      </c>
      <c r="D25" s="16"/>
      <c r="E25" s="16">
        <f>F19*E24/100</f>
        <v>1224561.755</v>
      </c>
      <c r="F25" s="16"/>
      <c r="G25" s="16">
        <f>F19*G24/100</f>
        <v>1224561.755</v>
      </c>
      <c r="H25" s="16"/>
      <c r="I25" s="16">
        <f>I19*I24/100</f>
        <v>408187.2516</v>
      </c>
      <c r="J25" s="16"/>
      <c r="K25" s="16">
        <f>L19*K24/100</f>
        <v>136062.4172</v>
      </c>
      <c r="L25" s="16"/>
      <c r="M25" s="16">
        <f>L19*M24/100</f>
        <v>136062.4172</v>
      </c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