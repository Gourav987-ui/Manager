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ulations" sheetId="2" r:id="rId5"/>
  </sheets>
  <definedNames/>
  <calcPr/>
</workbook>
</file>

<file path=xl/sharedStrings.xml><?xml version="1.0" encoding="utf-8"?>
<sst xmlns="http://schemas.openxmlformats.org/spreadsheetml/2006/main" count="120" uniqueCount="77">
  <si>
    <t>https://orion-advisor.atlassian.net/browse/INVST-6964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</si>
  <si>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</si>
  <si>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</si>
  <si>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</si>
  <si>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</si>
  <si>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</si>
  <si>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</si>
  <si>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</si>
  <si>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</si>
  <si>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</si>
  <si>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Normal Portfolio</t>
  </si>
  <si>
    <t>Single Account (Set aside cash, Reserve + Billing and Excluded security)</t>
  </si>
  <si>
    <t>Firm 85600 &gt; PID 300 &gt; Account grid &gt; AID 10272 &gt; Account holdings &gt; check Excluded Value field and amount.</t>
  </si>
  <si>
    <t>Excluded Amount should be same as on Account and Portfolio grid.</t>
  </si>
  <si>
    <t>Working as Expected.</t>
  </si>
  <si>
    <t>PASS</t>
  </si>
  <si>
    <t>Firm 85600 &gt; PID 300 &gt; Account grid &gt; AID 10272 &gt; Account holdings &gt; check Excluded Value field and amount &gt; Select security "" &gt; check Current and Pending %.</t>
  </si>
  <si>
    <t>Security Current, Pending and Target % calculation should depend on Account managed value.</t>
  </si>
  <si>
    <t>Firm 85600 &gt; PID 300 &gt; Account grid &gt; AID 10272 &gt; Account holdings &gt; check Excluded Value field and amount &gt; Select security "VBND" &gt; check Current and Pending % &gt; view security Holding &gt; compare Current and Pendng %.</t>
  </si>
  <si>
    <t>Security Current, Pending and Target % calculation should be same in Account holdings and View holdings.</t>
  </si>
  <si>
    <t>Security with open trade and Blocks</t>
  </si>
  <si>
    <t>Firm 85600 &gt; PID 300 &gt; Account grid &gt; AID 10272 &gt; Account holdings &gt; check Excluded Value field and amount &gt; Select security with open trades or Blocks &gt; check Current and Pending %.</t>
  </si>
  <si>
    <t>Security Current % should remain same and Pending % should be updated.</t>
  </si>
  <si>
    <t>Excluded security</t>
  </si>
  <si>
    <t>Firm 85600 &gt; PID 300 &gt; Account grid &gt; AID 10272 &gt; Account holdings &gt; check Excluded Value field and amount &gt; Select security "PPTY" &gt; check Current and Pending %.</t>
  </si>
  <si>
    <t>Managed value of Account is used to calculate Security Current, Pending and Target %.</t>
  </si>
  <si>
    <t>Comment Added.</t>
  </si>
  <si>
    <t>Firm 85600 &gt; PID 300 &gt; Account grid &gt; AID 10272 &gt; Account holdings &gt; check Excluded Value field and amount &gt; Select security "PPTY" &gt; check Current and Pending % calculated according to Managed value of account &gt; view security Holding &gt; compare Current and Pendng %.</t>
  </si>
  <si>
    <t>Excluded value of Account is used to calculate Security Current, Pending and Target %.</t>
  </si>
  <si>
    <t>FAIL</t>
  </si>
  <si>
    <t>Comment Added.
Not relatd to ticket.</t>
  </si>
  <si>
    <t>Substituted security</t>
  </si>
  <si>
    <t>Firm 85600 &gt; PID 300 &gt; Account grid &gt; AID 10272 &gt; Account holdings &gt; check Excluded Value field and amount &gt; Select security "VUSE" &gt; check Current and Pending %.</t>
  </si>
  <si>
    <t>Without model</t>
  </si>
  <si>
    <t>Firm 85600 &gt; PID 300 &gt; (Model ID : 77 ) &gt; Remove model &gt; Account grid &gt; AID 10272 &gt; Account holdings &gt; check Excluded Value field and amount.</t>
  </si>
  <si>
    <t>Single SMA Account</t>
  </si>
  <si>
    <t>Firm 85600 &gt; PID 34 &gt; Account grid &gt; SMA AID 10022 &gt; Account holdings &gt; check Excluded Value field and amount.</t>
  </si>
  <si>
    <t>Account value in holding does not match with Account value on grid.
$ 931977.48</t>
  </si>
  <si>
    <t>As discussed with Gurjant sir, this is not related to ticket and an exsting issue</t>
  </si>
  <si>
    <t>Firm 85600 &gt; PID 34 &gt; Account grid &gt; SMA AID 10022 (100 % weightage) &gt; Security GEV is Excluded and has current holding &gt; Account holdings &gt; search Security GEV &gt; check values and Excluded status is NO.</t>
  </si>
  <si>
    <t>SMA  holdings do not Exclude.</t>
  </si>
  <si>
    <t>Security Excluded status is NO.</t>
  </si>
  <si>
    <t>Firm 85600 &gt; PID 34 &gt; Account grid &gt; AID 10022 &gt; Account holdings &gt; check Excluded Value field and amount &gt; Check security holding and Calculate Current and Pending %.</t>
  </si>
  <si>
    <t>Same as above.</t>
  </si>
  <si>
    <t>SELECT  a.portfolioId ,  p.accountId , p.* FROM positionAnalytics p INNER JOIN `account` a ON p.accountId = a.id WHERE a.portfolioId = 34 AND p.pendingQuantity != 0 AND p.isDeleted = 0 ;</t>
  </si>
  <si>
    <t xml:space="preserve">Total of 745 security holding are present in Account holdings. </t>
  </si>
  <si>
    <t>745 rows appear in positionAnalytics table.</t>
  </si>
  <si>
    <t>Firm 85600 &gt; Portfolio grid &gt; PID 300 &gt; Portfolio holdings &gt; check Portfolio name and Value.</t>
  </si>
  <si>
    <t>Portfolio Name (PID) apper with Account value.
Brandt, JDM184 - Robert &amp; Gail_15779 (5509)    $575.65 k</t>
  </si>
  <si>
    <t>Multiple Account</t>
  </si>
  <si>
    <t>Firm 85600 &gt; PID 5509 &gt; Account grid &gt; AID 15779, 15780 &gt;  Account holdings &gt; check Excluded Value field and amount.</t>
  </si>
  <si>
    <t>AID 15779 &gt; Account holdings &gt; Check Excluded value and calculate security % values.</t>
  </si>
  <si>
    <t>Excluded Amount should be same as on Account and Portfolio grid for Individual account.</t>
  </si>
  <si>
    <t>MAC / Eq.  and Alternate security.</t>
  </si>
  <si>
    <t>Firm 85600 &gt; PID 5509 &gt; Account grid &gt; AID 15779, 15780 &gt;  Account holdings &gt; check Excluded Value field and amount &gt; Select MAC / Eq. and Alts. security &gt; check Current and Pending percent.</t>
  </si>
  <si>
    <t>Excluded Amount should be same as on Account and Portfolio grid for Individual account.
Security percent calculations should depend on managed value of account.</t>
  </si>
  <si>
    <t>TMM and Cash security.</t>
  </si>
  <si>
    <t>Firm 85600 &gt; PID 5509 &gt; Account grid &gt; AID 15779, 15780 &gt;  Account holdings &gt; check Excluded Value field and amount &gt; Select TMM and Cash security &gt; check Current and Pending percent.</t>
  </si>
  <si>
    <t>Security Current and Pending percent calculations should depend on managed value of account.</t>
  </si>
  <si>
    <t>Multiple SMA Account</t>
  </si>
  <si>
    <t>Firm 85600 &gt; PID 2074 &gt; AID 12155, 18795 &gt; SMA weightage is 0.00 &gt; Select AID 12155 &gt; Account holdings &gt; Check Excluded value and Security % values.</t>
  </si>
  <si>
    <t>Excluded Amount should be same as on Account and Portfolio grid.
Excluded value should be equal to Account value.</t>
  </si>
  <si>
    <t>Same as Above.</t>
  </si>
  <si>
    <t>Current and Pending % value should be 0.00.</t>
  </si>
  <si>
    <t>Firm 85600 &gt; Portfolio grid &gt; PID 5509 &gt; Portfolio holdings &gt; check Portfolio name and Value.</t>
  </si>
  <si>
    <t>Porfolio name (PID) with Aggregate Account value</t>
  </si>
  <si>
    <t>Sleeve Portfolio</t>
  </si>
  <si>
    <t>Firm 85600 &gt; PID 289 &gt; Account grid &gt; AID 166931, 166932 &gt;  Account holdings &gt; check Excluded Value field and amount.</t>
  </si>
  <si>
    <t>AID 166931 &gt; Account holdings &gt; Check Excluded value.</t>
  </si>
  <si>
    <t>AID 166932 &gt; Account holdings &gt; Check Excluded value.</t>
  </si>
  <si>
    <t>Firm 85600 &gt; PID 289 &gt; Run Rebalancer &gt; Account grid &gt; AID 166931, 166932 &gt;  Account holdings &gt; check Excluded Value field and amount for Both accounts.</t>
  </si>
  <si>
    <t>Split Flag : use_managed_value_b6335 : ON / OFF</t>
  </si>
  <si>
    <t>Acc Value</t>
  </si>
  <si>
    <t>Exclude</t>
  </si>
  <si>
    <t>Managed value</t>
  </si>
  <si>
    <t>Value</t>
  </si>
  <si>
    <t>Percent Amount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</si>
</sst>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8.0"/>
      <color theme="1"/>
      <name val="Arial"/>
      <scheme val="minor"/>
    </font>
    <font>
      <sz val="14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10" numFmtId="0" xfId="0" applyAlignment="1" applyFill="1" applyFont="1">
      <alignment horizontal="center" readingOrder="0"/>
    </xf>
    <xf borderId="0" fillId="7" fontId="10" numFmtId="0" xfId="0" applyAlignment="1" applyFont="1">
      <alignment horizontal="center"/>
    </xf>
    <xf borderId="0" fillId="7" fontId="11" numFmtId="0" xfId="0" applyAlignment="1" applyFont="1">
      <alignment horizontal="center"/>
    </xf>
    <xf borderId="1" fillId="8" fontId="8" numFmtId="0" xfId="0" applyAlignment="1" applyBorder="1" applyFill="1" applyFont="1">
      <alignment horizontal="center"/>
    </xf>
    <xf borderId="0" fillId="7" fontId="8" numFmtId="0" xfId="0" applyAlignment="1" applyFont="1">
      <alignment horizontal="center"/>
    </xf>
    <xf borderId="2" fillId="8" fontId="8" numFmtId="0" xfId="0" applyAlignment="1" applyBorder="1" applyFont="1">
      <alignment horizontal="center" readingOrder="0"/>
    </xf>
    <xf borderId="0" fillId="7" fontId="6" numFmtId="0" xfId="0" applyFont="1"/>
    <xf borderId="3" fillId="8" fontId="8" numFmtId="0" xfId="0" applyAlignment="1" applyBorder="1" applyFont="1">
      <alignment horizontal="center" readingOrder="0"/>
    </xf>
    <xf borderId="4" fillId="8" fontId="8" numFmtId="0" xfId="0" applyAlignment="1" applyBorder="1" applyFont="1">
      <alignment horizontal="center" readingOrder="0"/>
    </xf>
    <xf borderId="5" fillId="8" fontId="8" numFmtId="0" xfId="0" applyAlignment="1" applyBorder="1" applyFont="1">
      <alignment horizontal="center" readingOrder="0"/>
    </xf>
    <xf borderId="0" fillId="7" fontId="11" numFmtId="0" xfId="0" applyFont="1"/>
    <xf borderId="5" fillId="7" fontId="8" numFmtId="0" xfId="0" applyAlignment="1" applyBorder="1" applyFont="1">
      <alignment horizontal="center" readingOrder="0"/>
    </xf>
    <xf borderId="0" fillId="7" fontId="11" numFmtId="0" xfId="0" applyAlignment="1" applyFont="1">
      <alignment horizontal="center" readingOrder="0"/>
    </xf>
    <xf borderId="2" fillId="8" fontId="8" numFmtId="0" xfId="0" applyAlignment="1" applyBorder="1" applyFont="1">
      <alignment horizontal="center"/>
    </xf>
    <xf borderId="6" fillId="8" fontId="8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696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12</v>
      </c>
      <c r="B6" s="13" t="s">
        <v>13</v>
      </c>
      <c r="C6" s="13" t="s">
        <v>14</v>
      </c>
      <c r="D6" s="13" t="s">
        <v>15</v>
      </c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 t="s">
        <v>16</v>
      </c>
      <c r="B8" s="13" t="s">
        <v>17</v>
      </c>
      <c r="C8" s="13" t="s">
        <v>14</v>
      </c>
      <c r="D8" s="13" t="s">
        <v>15</v>
      </c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 t="s">
        <v>18</v>
      </c>
      <c r="B10" s="13" t="s">
        <v>19</v>
      </c>
      <c r="C10" s="13" t="s">
        <v>14</v>
      </c>
      <c r="D10" s="13" t="s">
        <v>15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20</v>
      </c>
      <c r="B12" s="9"/>
      <c r="C12" s="9"/>
      <c r="D12" s="9"/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21</v>
      </c>
      <c r="B13" s="13" t="s">
        <v>22</v>
      </c>
      <c r="C13" s="13" t="s">
        <v>14</v>
      </c>
      <c r="D13" s="13" t="s">
        <v>15</v>
      </c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 t="s">
        <v>23</v>
      </c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24</v>
      </c>
      <c r="B16" s="9"/>
      <c r="C16" s="13" t="s">
        <v>25</v>
      </c>
      <c r="D16" s="9"/>
      <c r="E16" s="15" t="s">
        <v>26</v>
      </c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27</v>
      </c>
      <c r="B18" s="13" t="s">
        <v>19</v>
      </c>
      <c r="C18" s="16" t="s">
        <v>28</v>
      </c>
      <c r="D18" s="16" t="s">
        <v>29</v>
      </c>
      <c r="E18" s="9"/>
      <c r="F18" s="15" t="s">
        <v>30</v>
      </c>
      <c r="G18" s="17">
        <v>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 t="s">
        <v>31</v>
      </c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 t="s">
        <v>32</v>
      </c>
      <c r="B21" s="13" t="s">
        <v>17</v>
      </c>
      <c r="C21" s="13" t="s">
        <v>14</v>
      </c>
      <c r="D21" s="13" t="s">
        <v>15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 t="s">
        <v>33</v>
      </c>
      <c r="B23" s="9"/>
      <c r="C23" s="9"/>
      <c r="D23" s="9"/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34</v>
      </c>
      <c r="B24" s="13" t="s">
        <v>17</v>
      </c>
      <c r="C24" s="13" t="s">
        <v>14</v>
      </c>
      <c r="D24" s="13" t="s">
        <v>15</v>
      </c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 t="s">
        <v>35</v>
      </c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 t="s">
        <v>36</v>
      </c>
      <c r="B28" s="13" t="s">
        <v>13</v>
      </c>
      <c r="C28" s="16" t="s">
        <v>37</v>
      </c>
      <c r="D28" s="16" t="s">
        <v>29</v>
      </c>
      <c r="E28" s="9"/>
      <c r="F28" s="18" t="s">
        <v>38</v>
      </c>
      <c r="G28" s="17">
        <v>0.0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 t="s">
        <v>39</v>
      </c>
      <c r="B30" s="13" t="s">
        <v>40</v>
      </c>
      <c r="C30" s="13" t="s">
        <v>41</v>
      </c>
      <c r="D30" s="13" t="s">
        <v>15</v>
      </c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42</v>
      </c>
      <c r="B32" s="13" t="s">
        <v>19</v>
      </c>
      <c r="C32" s="13" t="s">
        <v>14</v>
      </c>
      <c r="D32" s="13" t="s">
        <v>15</v>
      </c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3" t="s">
        <v>43</v>
      </c>
      <c r="B33" s="13" t="s">
        <v>44</v>
      </c>
      <c r="C33" s="13" t="s">
        <v>45</v>
      </c>
      <c r="D33" s="13" t="s">
        <v>15</v>
      </c>
      <c r="E33" s="13" t="s">
        <v>46</v>
      </c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 t="s">
        <v>47</v>
      </c>
      <c r="B35" s="9"/>
      <c r="C35" s="13" t="s">
        <v>48</v>
      </c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2" t="s">
        <v>49</v>
      </c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50</v>
      </c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3" t="s">
        <v>51</v>
      </c>
      <c r="B39" s="13" t="s">
        <v>52</v>
      </c>
      <c r="C39" s="13" t="s">
        <v>14</v>
      </c>
      <c r="D39" s="13" t="s">
        <v>15</v>
      </c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 t="s">
        <v>53</v>
      </c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3" t="s">
        <v>54</v>
      </c>
      <c r="B42" s="13" t="s">
        <v>55</v>
      </c>
      <c r="C42" s="13" t="s">
        <v>14</v>
      </c>
      <c r="D42" s="13" t="s">
        <v>15</v>
      </c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 t="s">
        <v>56</v>
      </c>
      <c r="B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3" t="s">
        <v>57</v>
      </c>
      <c r="B45" s="13" t="s">
        <v>58</v>
      </c>
      <c r="C45" s="13" t="s">
        <v>14</v>
      </c>
      <c r="D45" s="13" t="s">
        <v>15</v>
      </c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 t="s">
        <v>59</v>
      </c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3" t="s">
        <v>60</v>
      </c>
      <c r="B48" s="13" t="s">
        <v>61</v>
      </c>
      <c r="C48" s="13" t="s">
        <v>14</v>
      </c>
      <c r="D48" s="13" t="s">
        <v>15</v>
      </c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3" t="s">
        <v>62</v>
      </c>
      <c r="B49" s="13" t="s">
        <v>63</v>
      </c>
      <c r="C49" s="13" t="s">
        <v>14</v>
      </c>
      <c r="D49" s="13" t="s">
        <v>15</v>
      </c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 t="s">
        <v>64</v>
      </c>
      <c r="B51" s="13" t="s">
        <v>65</v>
      </c>
      <c r="C51" s="13" t="s">
        <v>14</v>
      </c>
      <c r="D51" s="13" t="s">
        <v>15</v>
      </c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66</v>
      </c>
      <c r="B53" s="8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3" t="s">
        <v>67</v>
      </c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3" t="s">
        <v>68</v>
      </c>
      <c r="B55" s="13" t="s">
        <v>52</v>
      </c>
      <c r="C55" s="13" t="s">
        <v>14</v>
      </c>
      <c r="D55" s="13" t="s">
        <v>15</v>
      </c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3" t="s">
        <v>69</v>
      </c>
      <c r="B56" s="13" t="s">
        <v>52</v>
      </c>
      <c r="C56" s="13" t="s">
        <v>14</v>
      </c>
      <c r="D56" s="13" t="s">
        <v>15</v>
      </c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3" t="s">
        <v>70</v>
      </c>
      <c r="B58" s="13" t="s">
        <v>52</v>
      </c>
      <c r="C58" s="13" t="s">
        <v>14</v>
      </c>
      <c r="D58" s="13" t="s">
        <v>15</v>
      </c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 t="s">
        <v>71</v>
      </c>
      <c r="B61" s="9"/>
      <c r="C61" s="13" t="s">
        <v>14</v>
      </c>
      <c r="D61" s="13" t="s">
        <v>15</v>
      </c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0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0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0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0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0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0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0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0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0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0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0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0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0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0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0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0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0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0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0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0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0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0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0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0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0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0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0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0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0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0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0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0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0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0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0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0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0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0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0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0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0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0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0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0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0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0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0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0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0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0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0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0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0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0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0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0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0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0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0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0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0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0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0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0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0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0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0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0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0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0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0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0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0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0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0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0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0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0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0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0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0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0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0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0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0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0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0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0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0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0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0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0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0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0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0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0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0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0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0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0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0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0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0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0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0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0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0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0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0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0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0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0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0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0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0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0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0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0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0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0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0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0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0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0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0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0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0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0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0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0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0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0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0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0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0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0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0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0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0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0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0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0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0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0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0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0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0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0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0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0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0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0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0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0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0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0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0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0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0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0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0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0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0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0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0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0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0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0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0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0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0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0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0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0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0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0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0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0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0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0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0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0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0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0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0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0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0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0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0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0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0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0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0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0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0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0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0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0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0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0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0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0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0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0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0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0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0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0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0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0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0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0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0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0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0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0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0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0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0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0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0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0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0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0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0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0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0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0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0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0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0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0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0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0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0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0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0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0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0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0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0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0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0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0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0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0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0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0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0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0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0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0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0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0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0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0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0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0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0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0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0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0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0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0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0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0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0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0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0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0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0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0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0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0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0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0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0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0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0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0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0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0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0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0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0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0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0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0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0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0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0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0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0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0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0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0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0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0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0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0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0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0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0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0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0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0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0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0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0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0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0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0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0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0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0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0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0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0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0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0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0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0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0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0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0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0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0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0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0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0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0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0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0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0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0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0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0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0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0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0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0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0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0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0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0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0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0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0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0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0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0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0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0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0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0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0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0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0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0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0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0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0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0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0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0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0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0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0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0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0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0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0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0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0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0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0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0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0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0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0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0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0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0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0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0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0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0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0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0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0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0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0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0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0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0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0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0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0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0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0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0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0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0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0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0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0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0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0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0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0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0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0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0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0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0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0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0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0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0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0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0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0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0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0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0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0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0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0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0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0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0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0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0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0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0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0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0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0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0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0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0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0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0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0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0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0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0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0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0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0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0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0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0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0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0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0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0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0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0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0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0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0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0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0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20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20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20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63"/>
    <col customWidth="1" min="3" max="3" width="28.38"/>
    <col customWidth="1" min="5" max="5" width="20.0"/>
    <col customWidth="1" min="7" max="7" width="29.25"/>
  </cols>
  <sheetData>
    <row r="1">
      <c r="A1" s="21" t="s">
        <v>72</v>
      </c>
      <c r="B1" s="21" t="s">
        <v>73</v>
      </c>
      <c r="C1" s="21" t="s">
        <v>74</v>
      </c>
      <c r="D1" s="22"/>
      <c r="E1" s="21" t="s">
        <v>75</v>
      </c>
      <c r="F1" s="22"/>
      <c r="G1" s="21" t="s">
        <v>76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/>
      <c r="B2" s="23"/>
      <c r="C2" s="23"/>
      <c r="D2" s="23"/>
      <c r="E2" s="24"/>
      <c r="F2" s="23"/>
      <c r="G2" s="25">
        <f t="shared" ref="G2:G18" si="1">round(E2*100/C$8,2)</f>
        <v>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6"/>
      <c r="F3" s="23"/>
      <c r="G3" s="25">
        <f t="shared" si="1"/>
        <v>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23"/>
      <c r="C4" s="27"/>
      <c r="D4" s="23"/>
      <c r="E4" s="26"/>
      <c r="F4" s="23"/>
      <c r="G4" s="25">
        <f t="shared" si="1"/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3"/>
      <c r="C5" s="23"/>
      <c r="D5" s="23"/>
      <c r="E5" s="26"/>
      <c r="F5" s="23"/>
      <c r="G5" s="25">
        <f t="shared" si="1"/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8">
        <v>1034226.53</v>
      </c>
      <c r="B6" s="29">
        <v>119942.34</v>
      </c>
      <c r="C6" s="30">
        <f>A6-B6</f>
        <v>914284.19</v>
      </c>
      <c r="D6" s="23"/>
      <c r="E6" s="26"/>
      <c r="F6" s="23"/>
      <c r="G6" s="25">
        <f t="shared" si="1"/>
        <v>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23"/>
      <c r="E7" s="26">
        <v>2930.33</v>
      </c>
      <c r="F7" s="23"/>
      <c r="G7" s="25">
        <f t="shared" si="1"/>
        <v>7.09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31"/>
      <c r="B8" s="31"/>
      <c r="C8" s="32">
        <v>41313.4</v>
      </c>
      <c r="D8" s="23"/>
      <c r="E8" s="26"/>
      <c r="F8" s="23"/>
      <c r="G8" s="25">
        <f t="shared" si="1"/>
        <v>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3"/>
      <c r="C9" s="23"/>
      <c r="D9" s="23"/>
      <c r="E9" s="26"/>
      <c r="F9" s="23"/>
      <c r="G9" s="25">
        <f t="shared" si="1"/>
        <v>0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23"/>
      <c r="E10" s="26"/>
      <c r="F10" s="23"/>
      <c r="G10" s="25">
        <f t="shared" si="1"/>
        <v>0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23"/>
      <c r="E11" s="26"/>
      <c r="F11" s="23"/>
      <c r="G11" s="25">
        <f t="shared" si="1"/>
        <v>0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23"/>
      <c r="E12" s="26"/>
      <c r="F12" s="23"/>
      <c r="G12" s="25">
        <f t="shared" si="1"/>
        <v>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33" t="b">
        <f>if(C8=C6,"TRUE")</f>
        <v>0</v>
      </c>
      <c r="D13" s="23"/>
      <c r="E13" s="26"/>
      <c r="F13" s="23"/>
      <c r="G13" s="25">
        <f t="shared" si="1"/>
        <v>0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6"/>
      <c r="F14" s="23"/>
      <c r="G14" s="25">
        <f t="shared" si="1"/>
        <v>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3"/>
      <c r="D15" s="23"/>
      <c r="E15" s="34"/>
      <c r="F15" s="23"/>
      <c r="G15" s="25">
        <f t="shared" si="1"/>
        <v>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34"/>
      <c r="F16" s="23"/>
      <c r="G16" s="25">
        <f t="shared" si="1"/>
        <v>0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34"/>
      <c r="F17" s="23"/>
      <c r="G17" s="25">
        <f t="shared" si="1"/>
        <v>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35"/>
      <c r="F18" s="23"/>
      <c r="G18" s="25">
        <f t="shared" si="1"/>
        <v>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5"/>
      <c r="F19" s="23"/>
      <c r="G19" s="2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5"/>
      <c r="F20" s="23"/>
      <c r="G20" s="2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5"/>
      <c r="F21" s="23"/>
      <c r="G21" s="25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5"/>
      <c r="F22" s="23"/>
      <c r="G22" s="25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5"/>
      <c r="F23" s="23"/>
      <c r="G23" s="25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5"/>
      <c r="F24" s="23"/>
      <c r="G24" s="2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5"/>
      <c r="F25" s="23"/>
      <c r="G25" s="25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5"/>
      <c r="F26" s="23"/>
      <c r="G26" s="25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5"/>
      <c r="F27" s="23"/>
      <c r="G27" s="25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5"/>
      <c r="F28" s="23"/>
      <c r="G28" s="25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5"/>
      <c r="F29" s="23"/>
      <c r="G29" s="25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5"/>
      <c r="F30" s="23"/>
      <c r="G30" s="25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5"/>
      <c r="F31" s="23"/>
      <c r="G31" s="25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5"/>
      <c r="F32" s="23"/>
      <c r="G32" s="25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5"/>
      <c r="F33" s="23"/>
      <c r="G33" s="25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5"/>
      <c r="F34" s="23"/>
      <c r="G34" s="25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5"/>
      <c r="F35" s="23"/>
      <c r="G35" s="25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5"/>
      <c r="F36" s="23"/>
      <c r="G36" s="25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5"/>
      <c r="F37" s="23"/>
      <c r="G37" s="25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5"/>
      <c r="F38" s="23"/>
      <c r="G38" s="25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5"/>
      <c r="F39" s="23"/>
      <c r="G39" s="25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5"/>
      <c r="F40" s="23"/>
      <c r="G40" s="25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5"/>
      <c r="F41" s="23"/>
      <c r="G41" s="25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5"/>
      <c r="F42" s="23"/>
      <c r="G42" s="25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5"/>
      <c r="F43" s="23"/>
      <c r="G43" s="25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5"/>
      <c r="F44" s="23"/>
      <c r="G44" s="25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5"/>
      <c r="F45" s="23"/>
      <c r="G45" s="25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5"/>
      <c r="F46" s="23"/>
      <c r="G46" s="25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5"/>
      <c r="F47" s="23"/>
      <c r="G47" s="25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5"/>
      <c r="F48" s="23"/>
      <c r="G48" s="25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5"/>
      <c r="F49" s="23"/>
      <c r="G49" s="25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5"/>
      <c r="F50" s="23"/>
      <c r="G50" s="25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5"/>
      <c r="F51" s="23"/>
      <c r="G51" s="25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5"/>
      <c r="F52" s="23"/>
      <c r="G52" s="25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5"/>
      <c r="F53" s="23"/>
      <c r="G53" s="25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5"/>
      <c r="F54" s="23"/>
      <c r="G54" s="25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5"/>
      <c r="F55" s="23"/>
      <c r="G55" s="25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5"/>
      <c r="F56" s="23"/>
      <c r="G56" s="25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5"/>
      <c r="F57" s="23"/>
      <c r="G57" s="25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5"/>
      <c r="F58" s="23"/>
      <c r="G58" s="25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5"/>
      <c r="F59" s="23"/>
      <c r="G59" s="25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5"/>
      <c r="F60" s="23"/>
      <c r="G60" s="25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5"/>
      <c r="F61" s="23"/>
      <c r="G61" s="25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5"/>
      <c r="F62" s="23"/>
      <c r="G62" s="25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5"/>
      <c r="F63" s="23"/>
      <c r="G63" s="25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5"/>
      <c r="F64" s="23"/>
      <c r="G64" s="25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5"/>
      <c r="F65" s="23"/>
      <c r="G65" s="25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5"/>
      <c r="F66" s="23"/>
      <c r="G66" s="25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5"/>
      <c r="F67" s="23"/>
      <c r="G67" s="25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5"/>
      <c r="F68" s="23"/>
      <c r="G68" s="25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5"/>
      <c r="F69" s="23"/>
      <c r="G69" s="25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5"/>
      <c r="F70" s="23"/>
      <c r="G70" s="25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5"/>
      <c r="F71" s="23"/>
      <c r="G71" s="25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5"/>
      <c r="F72" s="23"/>
      <c r="G72" s="25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5"/>
      <c r="F73" s="23"/>
      <c r="G73" s="25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5"/>
      <c r="F74" s="23"/>
      <c r="G74" s="25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5"/>
      <c r="F75" s="23"/>
      <c r="G75" s="25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5"/>
      <c r="F76" s="23"/>
      <c r="G76" s="25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5"/>
      <c r="F77" s="23"/>
      <c r="G77" s="25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5"/>
      <c r="F78" s="23"/>
      <c r="G78" s="25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5"/>
      <c r="F79" s="23"/>
      <c r="G79" s="25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5"/>
      <c r="F80" s="23"/>
      <c r="G80" s="25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5"/>
      <c r="F81" s="23"/>
      <c r="G81" s="25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5"/>
      <c r="F82" s="23"/>
      <c r="G82" s="25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5"/>
      <c r="F83" s="23"/>
      <c r="G83" s="25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5"/>
      <c r="F84" s="23"/>
      <c r="G84" s="25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5"/>
      <c r="F85" s="23"/>
      <c r="G85" s="25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5"/>
      <c r="F86" s="23"/>
      <c r="G86" s="25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5"/>
      <c r="F87" s="23"/>
      <c r="G87" s="25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5"/>
      <c r="F88" s="23"/>
      <c r="G88" s="25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5"/>
      <c r="F89" s="23"/>
      <c r="G89" s="25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5"/>
      <c r="F90" s="23"/>
      <c r="G90" s="25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5"/>
      <c r="F91" s="23"/>
      <c r="G91" s="25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5"/>
      <c r="F92" s="23"/>
      <c r="G92" s="25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5"/>
      <c r="F93" s="23"/>
      <c r="G93" s="25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5"/>
      <c r="F94" s="23"/>
      <c r="G94" s="25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5"/>
      <c r="F95" s="23"/>
      <c r="G95" s="25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5"/>
      <c r="F96" s="23"/>
      <c r="G96" s="25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5"/>
      <c r="F97" s="23"/>
      <c r="G97" s="25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5"/>
      <c r="F98" s="23"/>
      <c r="G98" s="25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5"/>
      <c r="F99" s="23"/>
      <c r="G99" s="25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5"/>
      <c r="F100" s="23"/>
      <c r="G100" s="25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5"/>
      <c r="F101" s="23"/>
      <c r="G101" s="25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5"/>
      <c r="F102" s="23"/>
      <c r="G102" s="25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5"/>
      <c r="F103" s="23"/>
      <c r="G103" s="25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5"/>
      <c r="F104" s="23"/>
      <c r="G104" s="25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5"/>
      <c r="F105" s="23"/>
      <c r="G105" s="25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5"/>
      <c r="F106" s="23"/>
      <c r="G106" s="25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5"/>
      <c r="F107" s="23"/>
      <c r="G107" s="25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5"/>
      <c r="F108" s="23"/>
      <c r="G108" s="25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5"/>
      <c r="F109" s="23"/>
      <c r="G109" s="25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5"/>
      <c r="F110" s="23"/>
      <c r="G110" s="25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5"/>
      <c r="F111" s="23"/>
      <c r="G111" s="25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5"/>
      <c r="F112" s="23"/>
      <c r="G112" s="25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5"/>
      <c r="F113" s="23"/>
      <c r="G113" s="25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5"/>
      <c r="F114" s="23"/>
      <c r="G114" s="25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5"/>
      <c r="F115" s="23"/>
      <c r="G115" s="25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5"/>
      <c r="F116" s="23"/>
      <c r="G116" s="25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5"/>
      <c r="F117" s="23"/>
      <c r="G117" s="25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5"/>
      <c r="F118" s="23"/>
      <c r="G118" s="25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5"/>
      <c r="F119" s="23"/>
      <c r="G119" s="25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5"/>
      <c r="F120" s="23"/>
      <c r="G120" s="25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5"/>
      <c r="F121" s="23"/>
      <c r="G121" s="25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5"/>
      <c r="F122" s="23"/>
      <c r="G122" s="25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5"/>
      <c r="F123" s="23"/>
      <c r="G123" s="25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5"/>
      <c r="F124" s="23"/>
      <c r="G124" s="25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5"/>
      <c r="F125" s="23"/>
      <c r="G125" s="25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5"/>
      <c r="F126" s="23"/>
      <c r="G126" s="25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5"/>
      <c r="F127" s="23"/>
      <c r="G127" s="25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5"/>
      <c r="F128" s="23"/>
      <c r="G128" s="25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5"/>
      <c r="F129" s="23"/>
      <c r="G129" s="25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5"/>
      <c r="F130" s="23"/>
      <c r="G130" s="25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5"/>
      <c r="F131" s="23"/>
      <c r="G131" s="25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5"/>
      <c r="F132" s="23"/>
      <c r="G132" s="25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5"/>
      <c r="F133" s="23"/>
      <c r="G133" s="25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5"/>
      <c r="F134" s="23"/>
      <c r="G134" s="25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5"/>
      <c r="F135" s="23"/>
      <c r="G135" s="25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5"/>
      <c r="F136" s="23"/>
      <c r="G136" s="25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5"/>
      <c r="F137" s="23"/>
      <c r="G137" s="25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5"/>
      <c r="F138" s="23"/>
      <c r="G138" s="25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5"/>
      <c r="F139" s="23"/>
      <c r="G139" s="25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5"/>
      <c r="F140" s="23"/>
      <c r="G140" s="25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5"/>
      <c r="F141" s="23"/>
      <c r="G141" s="25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5"/>
      <c r="F142" s="23"/>
      <c r="G142" s="25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5"/>
      <c r="F143" s="23"/>
      <c r="G143" s="25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5"/>
      <c r="F144" s="23"/>
      <c r="G144" s="25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5"/>
      <c r="F145" s="23"/>
      <c r="G145" s="25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5"/>
      <c r="F146" s="23"/>
      <c r="G146" s="25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5"/>
      <c r="F147" s="23"/>
      <c r="G147" s="25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5"/>
      <c r="F148" s="23"/>
      <c r="G148" s="25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5"/>
      <c r="F149" s="23"/>
      <c r="G149" s="25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5"/>
      <c r="F150" s="23"/>
      <c r="G150" s="25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5"/>
      <c r="F151" s="23"/>
      <c r="G151" s="25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5"/>
      <c r="F152" s="23"/>
      <c r="G152" s="25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5"/>
      <c r="F153" s="23"/>
      <c r="G153" s="25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5"/>
      <c r="F154" s="23"/>
      <c r="G154" s="25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5"/>
      <c r="F155" s="23"/>
      <c r="G155" s="25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5"/>
      <c r="F156" s="23"/>
      <c r="G156" s="25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5"/>
      <c r="F157" s="23"/>
      <c r="G157" s="25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5"/>
      <c r="F158" s="23"/>
      <c r="G158" s="25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5"/>
      <c r="F159" s="23"/>
      <c r="G159" s="25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5"/>
      <c r="F160" s="23"/>
      <c r="G160" s="25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5"/>
      <c r="F161" s="23"/>
      <c r="G161" s="25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5"/>
      <c r="F162" s="23"/>
      <c r="G162" s="25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5"/>
      <c r="F163" s="23"/>
      <c r="G163" s="25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5"/>
      <c r="F164" s="23"/>
      <c r="G164" s="25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5"/>
      <c r="F165" s="23"/>
      <c r="G165" s="25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5"/>
      <c r="F166" s="23"/>
      <c r="G166" s="25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5"/>
      <c r="F167" s="23"/>
      <c r="G167" s="25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5"/>
      <c r="F168" s="23"/>
      <c r="G168" s="25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5"/>
      <c r="F169" s="23"/>
      <c r="G169" s="25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5"/>
      <c r="F170" s="23"/>
      <c r="G170" s="25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5"/>
      <c r="F171" s="23"/>
      <c r="G171" s="25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5"/>
      <c r="F172" s="23"/>
      <c r="G172" s="25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5"/>
      <c r="F173" s="23"/>
      <c r="G173" s="25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5"/>
      <c r="F174" s="23"/>
      <c r="G174" s="25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5"/>
      <c r="F175" s="23"/>
      <c r="G175" s="25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5"/>
      <c r="F176" s="23"/>
      <c r="G176" s="25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5"/>
      <c r="F177" s="23"/>
      <c r="G177" s="25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5"/>
      <c r="F178" s="23"/>
      <c r="G178" s="25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5"/>
      <c r="F179" s="23"/>
      <c r="G179" s="25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5"/>
      <c r="F180" s="23"/>
      <c r="G180" s="25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5"/>
      <c r="F181" s="23"/>
      <c r="G181" s="25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5"/>
      <c r="F182" s="23"/>
      <c r="G182" s="25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5"/>
      <c r="F183" s="23"/>
      <c r="G183" s="25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5"/>
      <c r="F184" s="23"/>
      <c r="G184" s="25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5"/>
      <c r="F185" s="23"/>
      <c r="G185" s="25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5"/>
      <c r="F186" s="23"/>
      <c r="G186" s="25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5"/>
      <c r="F187" s="23"/>
      <c r="G187" s="25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5"/>
      <c r="F188" s="23"/>
      <c r="G188" s="25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5"/>
      <c r="F189" s="23"/>
      <c r="G189" s="25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5"/>
      <c r="F190" s="23"/>
      <c r="G190" s="25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5"/>
      <c r="F191" s="23"/>
      <c r="G191" s="25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5"/>
      <c r="F192" s="23"/>
      <c r="G192" s="25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5"/>
      <c r="F193" s="23"/>
      <c r="G193" s="25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5"/>
      <c r="F194" s="23"/>
      <c r="G194" s="25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5"/>
      <c r="F195" s="23"/>
      <c r="G195" s="25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5"/>
      <c r="F196" s="23"/>
      <c r="G196" s="25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5"/>
      <c r="F197" s="23"/>
      <c r="G197" s="25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5"/>
      <c r="F198" s="23"/>
      <c r="G198" s="25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5"/>
      <c r="F199" s="23"/>
      <c r="G199" s="25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5"/>
      <c r="F200" s="23"/>
      <c r="G200" s="25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5"/>
      <c r="F201" s="23"/>
      <c r="G201" s="25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5"/>
      <c r="F202" s="23"/>
      <c r="G202" s="25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5"/>
      <c r="F203" s="23"/>
      <c r="G203" s="25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5"/>
      <c r="F204" s="23"/>
      <c r="G204" s="25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5"/>
      <c r="F205" s="23"/>
      <c r="G205" s="25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5"/>
      <c r="F206" s="23"/>
      <c r="G206" s="25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5"/>
      <c r="F207" s="23"/>
      <c r="G207" s="25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5"/>
      <c r="F208" s="23"/>
      <c r="G208" s="25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5"/>
      <c r="F209" s="23"/>
      <c r="G209" s="25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5"/>
      <c r="F210" s="23"/>
      <c r="G210" s="25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5"/>
      <c r="F211" s="23"/>
      <c r="G211" s="25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5"/>
      <c r="F212" s="23"/>
      <c r="G212" s="25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5"/>
      <c r="F213" s="23"/>
      <c r="G213" s="25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5"/>
      <c r="F214" s="23"/>
      <c r="G214" s="25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5"/>
      <c r="F215" s="23"/>
      <c r="G215" s="25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5"/>
      <c r="F216" s="23"/>
      <c r="G216" s="25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5"/>
      <c r="F217" s="23"/>
      <c r="G217" s="25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5"/>
      <c r="F218" s="23"/>
      <c r="G218" s="25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5"/>
      <c r="F219" s="23"/>
      <c r="G219" s="25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5"/>
      <c r="F220" s="23"/>
      <c r="G220" s="25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5"/>
      <c r="F221" s="23"/>
      <c r="G221" s="25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5"/>
      <c r="F222" s="23"/>
      <c r="G222" s="25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5"/>
      <c r="F223" s="23"/>
      <c r="G223" s="25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5"/>
      <c r="F224" s="23"/>
      <c r="G224" s="25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5"/>
      <c r="F225" s="23"/>
      <c r="G225" s="25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5"/>
      <c r="F226" s="23"/>
      <c r="G226" s="25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5"/>
      <c r="F227" s="23"/>
      <c r="G227" s="25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5"/>
      <c r="F228" s="23"/>
      <c r="G228" s="25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5"/>
      <c r="F229" s="23"/>
      <c r="G229" s="25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5"/>
      <c r="F230" s="23"/>
      <c r="G230" s="25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5"/>
      <c r="F231" s="23"/>
      <c r="G231" s="25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5"/>
      <c r="F232" s="23"/>
      <c r="G232" s="25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5"/>
      <c r="F233" s="23"/>
      <c r="G233" s="25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5"/>
      <c r="F234" s="23"/>
      <c r="G234" s="25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5"/>
      <c r="F235" s="23"/>
      <c r="G235" s="25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5"/>
      <c r="F236" s="23"/>
      <c r="G236" s="25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5"/>
      <c r="F237" s="23"/>
      <c r="G237" s="25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5"/>
      <c r="F238" s="23"/>
      <c r="G238" s="25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5"/>
      <c r="F239" s="23"/>
      <c r="G239" s="25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5"/>
      <c r="F240" s="23"/>
      <c r="G240" s="25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5"/>
      <c r="F241" s="23"/>
      <c r="G241" s="25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5"/>
      <c r="F242" s="23"/>
      <c r="G242" s="25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5"/>
      <c r="F243" s="23"/>
      <c r="G243" s="25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5"/>
      <c r="F244" s="23"/>
      <c r="G244" s="25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5"/>
      <c r="F245" s="23"/>
      <c r="G245" s="25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5"/>
      <c r="F246" s="23"/>
      <c r="G246" s="25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5"/>
      <c r="F247" s="23"/>
      <c r="G247" s="25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5"/>
      <c r="F248" s="23"/>
      <c r="G248" s="25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5"/>
      <c r="F249" s="23"/>
      <c r="G249" s="25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5"/>
      <c r="F250" s="23"/>
      <c r="G250" s="25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5"/>
      <c r="F251" s="23"/>
      <c r="G251" s="25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5"/>
      <c r="F252" s="23"/>
      <c r="G252" s="25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5"/>
      <c r="F253" s="23"/>
      <c r="G253" s="25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5"/>
      <c r="F254" s="23"/>
      <c r="G254" s="25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5"/>
      <c r="F255" s="23"/>
      <c r="G255" s="25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5"/>
      <c r="F256" s="23"/>
      <c r="G256" s="25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5"/>
      <c r="F257" s="23"/>
      <c r="G257" s="25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5"/>
      <c r="F258" s="23"/>
      <c r="G258" s="25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5"/>
      <c r="F259" s="23"/>
      <c r="G259" s="25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5"/>
      <c r="F260" s="23"/>
      <c r="G260" s="25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5"/>
      <c r="F261" s="23"/>
      <c r="G261" s="25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5"/>
      <c r="F262" s="23"/>
      <c r="G262" s="25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5"/>
      <c r="F263" s="23"/>
      <c r="G263" s="25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5"/>
      <c r="F264" s="23"/>
      <c r="G264" s="25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5"/>
      <c r="F265" s="23"/>
      <c r="G265" s="25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5"/>
      <c r="F266" s="23"/>
      <c r="G266" s="25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5"/>
      <c r="F267" s="23"/>
      <c r="G267" s="25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5"/>
      <c r="F268" s="23"/>
      <c r="G268" s="25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5"/>
      <c r="F269" s="23"/>
      <c r="G269" s="25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5"/>
      <c r="F270" s="23"/>
      <c r="G270" s="25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5"/>
      <c r="F271" s="23"/>
      <c r="G271" s="25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5"/>
      <c r="F272" s="23"/>
      <c r="G272" s="25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5"/>
      <c r="F273" s="23"/>
      <c r="G273" s="25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5"/>
      <c r="F274" s="23"/>
      <c r="G274" s="25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5"/>
      <c r="F275" s="23"/>
      <c r="G275" s="25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5"/>
      <c r="F276" s="23"/>
      <c r="G276" s="25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5"/>
      <c r="F277" s="23"/>
      <c r="G277" s="25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5"/>
      <c r="F278" s="23"/>
      <c r="G278" s="25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5"/>
      <c r="F279" s="23"/>
      <c r="G279" s="25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5"/>
      <c r="F280" s="23"/>
      <c r="G280" s="25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5"/>
      <c r="F281" s="23"/>
      <c r="G281" s="25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5"/>
      <c r="F282" s="23"/>
      <c r="G282" s="25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5"/>
      <c r="F283" s="23"/>
      <c r="G283" s="25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5"/>
      <c r="F284" s="23"/>
      <c r="G284" s="25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5"/>
      <c r="F285" s="23"/>
      <c r="G285" s="25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5"/>
      <c r="F286" s="23"/>
      <c r="G286" s="25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5"/>
      <c r="F287" s="23"/>
      <c r="G287" s="25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5"/>
      <c r="F288" s="23"/>
      <c r="G288" s="25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5"/>
      <c r="F289" s="23"/>
      <c r="G289" s="25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5"/>
      <c r="F290" s="23"/>
      <c r="G290" s="25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5"/>
      <c r="F291" s="23"/>
      <c r="G291" s="25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5"/>
      <c r="F292" s="23"/>
      <c r="G292" s="25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5"/>
      <c r="F293" s="23"/>
      <c r="G293" s="25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5"/>
      <c r="F294" s="23"/>
      <c r="G294" s="25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5"/>
      <c r="F295" s="23"/>
      <c r="G295" s="25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5"/>
      <c r="F296" s="23"/>
      <c r="G296" s="25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5"/>
      <c r="F297" s="23"/>
      <c r="G297" s="25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5"/>
      <c r="F298" s="23"/>
      <c r="G298" s="25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5"/>
      <c r="F299" s="23"/>
      <c r="G299" s="25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5"/>
      <c r="F300" s="23"/>
      <c r="G300" s="25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5"/>
      <c r="F301" s="23"/>
      <c r="G301" s="25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5"/>
      <c r="F302" s="23"/>
      <c r="G302" s="25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5"/>
      <c r="F303" s="23"/>
      <c r="G303" s="25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5"/>
      <c r="F304" s="23"/>
      <c r="G304" s="25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5"/>
      <c r="F305" s="23"/>
      <c r="G305" s="25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5"/>
      <c r="F306" s="23"/>
      <c r="G306" s="25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5"/>
      <c r="F307" s="23"/>
      <c r="G307" s="25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5"/>
      <c r="F308" s="23"/>
      <c r="G308" s="25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5"/>
      <c r="F309" s="23"/>
      <c r="G309" s="25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5"/>
      <c r="F310" s="23"/>
      <c r="G310" s="25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5"/>
      <c r="F311" s="23"/>
      <c r="G311" s="25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5"/>
      <c r="F312" s="23"/>
      <c r="G312" s="25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5"/>
      <c r="F313" s="23"/>
      <c r="G313" s="25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5"/>
      <c r="F314" s="23"/>
      <c r="G314" s="25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5"/>
      <c r="F315" s="23"/>
      <c r="G315" s="25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5"/>
      <c r="F316" s="23"/>
      <c r="G316" s="25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5"/>
      <c r="F317" s="23"/>
      <c r="G317" s="25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5"/>
      <c r="F318" s="23"/>
      <c r="G318" s="25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5"/>
      <c r="F319" s="23"/>
      <c r="G319" s="25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5"/>
      <c r="F320" s="23"/>
      <c r="G320" s="25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5"/>
      <c r="F321" s="23"/>
      <c r="G321" s="25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5"/>
      <c r="F322" s="23"/>
      <c r="G322" s="25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5"/>
      <c r="F323" s="23"/>
      <c r="G323" s="25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5"/>
      <c r="F324" s="23"/>
      <c r="G324" s="25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5"/>
      <c r="F325" s="23"/>
      <c r="G325" s="25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5"/>
      <c r="F326" s="23"/>
      <c r="G326" s="25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5"/>
      <c r="F327" s="23"/>
      <c r="G327" s="25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5"/>
      <c r="F328" s="23"/>
      <c r="G328" s="25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5"/>
      <c r="F329" s="23"/>
      <c r="G329" s="25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5"/>
      <c r="F330" s="23"/>
      <c r="G330" s="25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5"/>
      <c r="F331" s="23"/>
      <c r="G331" s="25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5"/>
      <c r="F332" s="23"/>
      <c r="G332" s="25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5"/>
      <c r="F333" s="23"/>
      <c r="G333" s="25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5"/>
      <c r="F334" s="23"/>
      <c r="G334" s="25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5"/>
      <c r="F335" s="23"/>
      <c r="G335" s="25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5"/>
      <c r="F336" s="23"/>
      <c r="G336" s="25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5"/>
      <c r="F337" s="23"/>
      <c r="G337" s="25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5"/>
      <c r="F338" s="23"/>
      <c r="G338" s="25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5"/>
      <c r="F339" s="23"/>
      <c r="G339" s="25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5"/>
      <c r="F340" s="23"/>
      <c r="G340" s="25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5"/>
      <c r="F341" s="23"/>
      <c r="G341" s="25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5"/>
      <c r="F342" s="23"/>
      <c r="G342" s="25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5"/>
      <c r="F343" s="23"/>
      <c r="G343" s="25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5"/>
      <c r="F344" s="23"/>
      <c r="G344" s="25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5"/>
      <c r="F345" s="23"/>
      <c r="G345" s="25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5"/>
      <c r="F346" s="23"/>
      <c r="G346" s="25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5"/>
      <c r="F347" s="23"/>
      <c r="G347" s="25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5"/>
      <c r="F348" s="23"/>
      <c r="G348" s="25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5"/>
      <c r="F349" s="23"/>
      <c r="G349" s="25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5"/>
      <c r="F350" s="23"/>
      <c r="G350" s="25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5"/>
      <c r="F351" s="23"/>
      <c r="G351" s="25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5"/>
      <c r="F352" s="23"/>
      <c r="G352" s="25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5"/>
      <c r="F353" s="23"/>
      <c r="G353" s="25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5"/>
      <c r="F354" s="23"/>
      <c r="G354" s="25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5"/>
      <c r="F355" s="23"/>
      <c r="G355" s="25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5"/>
      <c r="F356" s="23"/>
      <c r="G356" s="25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5"/>
      <c r="F357" s="23"/>
      <c r="G357" s="25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5"/>
      <c r="F358" s="23"/>
      <c r="G358" s="25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5"/>
      <c r="F359" s="23"/>
      <c r="G359" s="25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5"/>
      <c r="F360" s="23"/>
      <c r="G360" s="25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5"/>
      <c r="F361" s="23"/>
      <c r="G361" s="25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5"/>
      <c r="F362" s="23"/>
      <c r="G362" s="25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5"/>
      <c r="F363" s="23"/>
      <c r="G363" s="25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5"/>
      <c r="F364" s="23"/>
      <c r="G364" s="25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5"/>
      <c r="F365" s="23"/>
      <c r="G365" s="25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5"/>
      <c r="F366" s="23"/>
      <c r="G366" s="25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5"/>
      <c r="F367" s="23"/>
      <c r="G367" s="25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5"/>
      <c r="F368" s="23"/>
      <c r="G368" s="25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5"/>
      <c r="F369" s="23"/>
      <c r="G369" s="25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5"/>
      <c r="F370" s="23"/>
      <c r="G370" s="25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5"/>
      <c r="F371" s="23"/>
      <c r="G371" s="25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5"/>
      <c r="F372" s="23"/>
      <c r="G372" s="25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5"/>
      <c r="F373" s="23"/>
      <c r="G373" s="25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5"/>
      <c r="F374" s="23"/>
      <c r="G374" s="25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5"/>
      <c r="F375" s="23"/>
      <c r="G375" s="25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5"/>
      <c r="F376" s="23"/>
      <c r="G376" s="25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5"/>
      <c r="F377" s="23"/>
      <c r="G377" s="25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5"/>
      <c r="F378" s="23"/>
      <c r="G378" s="25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5"/>
      <c r="F379" s="23"/>
      <c r="G379" s="25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5"/>
      <c r="F380" s="23"/>
      <c r="G380" s="25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5"/>
      <c r="F381" s="23"/>
      <c r="G381" s="25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5"/>
      <c r="F382" s="23"/>
      <c r="G382" s="25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5"/>
      <c r="F383" s="23"/>
      <c r="G383" s="25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5"/>
      <c r="F384" s="23"/>
      <c r="G384" s="25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5"/>
      <c r="F385" s="23"/>
      <c r="G385" s="25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5"/>
      <c r="F386" s="23"/>
      <c r="G386" s="25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5"/>
      <c r="F387" s="23"/>
      <c r="G387" s="25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5"/>
      <c r="F388" s="23"/>
      <c r="G388" s="25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5"/>
      <c r="F389" s="23"/>
      <c r="G389" s="25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5"/>
      <c r="F390" s="23"/>
      <c r="G390" s="25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5"/>
      <c r="F391" s="23"/>
      <c r="G391" s="25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5"/>
      <c r="F392" s="23"/>
      <c r="G392" s="25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5"/>
      <c r="F393" s="23"/>
      <c r="G393" s="25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5"/>
      <c r="F394" s="23"/>
      <c r="G394" s="25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5"/>
      <c r="F395" s="23"/>
      <c r="G395" s="25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5"/>
      <c r="F396" s="23"/>
      <c r="G396" s="25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5"/>
      <c r="F397" s="23"/>
      <c r="G397" s="25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5"/>
      <c r="F398" s="23"/>
      <c r="G398" s="25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5"/>
      <c r="F399" s="23"/>
      <c r="G399" s="25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5"/>
      <c r="F400" s="23"/>
      <c r="G400" s="25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5"/>
      <c r="F401" s="23"/>
      <c r="G401" s="25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5"/>
      <c r="F402" s="23"/>
      <c r="G402" s="25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5"/>
      <c r="F403" s="23"/>
      <c r="G403" s="25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5"/>
      <c r="F404" s="23"/>
      <c r="G404" s="25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5"/>
      <c r="F405" s="23"/>
      <c r="G405" s="25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5"/>
      <c r="F406" s="23"/>
      <c r="G406" s="25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5"/>
      <c r="F407" s="23"/>
      <c r="G407" s="25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5"/>
      <c r="F408" s="23"/>
      <c r="G408" s="25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5"/>
      <c r="F409" s="23"/>
      <c r="G409" s="25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5"/>
      <c r="F410" s="23"/>
      <c r="G410" s="25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5"/>
      <c r="F411" s="23"/>
      <c r="G411" s="25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5"/>
      <c r="F412" s="23"/>
      <c r="G412" s="25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5"/>
      <c r="F413" s="23"/>
      <c r="G413" s="25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5"/>
      <c r="F414" s="23"/>
      <c r="G414" s="25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5"/>
      <c r="F415" s="23"/>
      <c r="G415" s="25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5"/>
      <c r="F416" s="23"/>
      <c r="G416" s="25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5"/>
      <c r="F417" s="23"/>
      <c r="G417" s="25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5"/>
      <c r="F418" s="23"/>
      <c r="G418" s="25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5"/>
      <c r="F419" s="23"/>
      <c r="G419" s="25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5"/>
      <c r="F420" s="23"/>
      <c r="G420" s="25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5"/>
      <c r="F421" s="23"/>
      <c r="G421" s="25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5"/>
      <c r="F422" s="23"/>
      <c r="G422" s="25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5"/>
      <c r="F423" s="23"/>
      <c r="G423" s="25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5"/>
      <c r="F424" s="23"/>
      <c r="G424" s="25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5"/>
      <c r="F425" s="23"/>
      <c r="G425" s="25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5"/>
      <c r="F426" s="23"/>
      <c r="G426" s="25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5"/>
      <c r="F427" s="23"/>
      <c r="G427" s="25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5"/>
      <c r="F428" s="23"/>
      <c r="G428" s="25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5"/>
      <c r="F429" s="23"/>
      <c r="G429" s="25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5"/>
      <c r="F430" s="23"/>
      <c r="G430" s="25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5"/>
      <c r="F431" s="23"/>
      <c r="G431" s="25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5"/>
      <c r="F432" s="23"/>
      <c r="G432" s="25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5"/>
      <c r="F433" s="23"/>
      <c r="G433" s="25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5"/>
      <c r="F434" s="23"/>
      <c r="G434" s="25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5"/>
      <c r="F435" s="23"/>
      <c r="G435" s="25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5"/>
      <c r="F436" s="23"/>
      <c r="G436" s="25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5"/>
      <c r="F437" s="23"/>
      <c r="G437" s="25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5"/>
      <c r="F438" s="23"/>
      <c r="G438" s="25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5"/>
      <c r="F439" s="23"/>
      <c r="G439" s="25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5"/>
      <c r="F440" s="23"/>
      <c r="G440" s="25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5"/>
      <c r="F441" s="23"/>
      <c r="G441" s="25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5"/>
      <c r="F442" s="23"/>
      <c r="G442" s="25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5"/>
      <c r="F443" s="23"/>
      <c r="G443" s="25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5"/>
      <c r="F444" s="23"/>
      <c r="G444" s="25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5"/>
      <c r="F445" s="23"/>
      <c r="G445" s="25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5"/>
      <c r="F446" s="23"/>
      <c r="G446" s="25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5"/>
      <c r="F447" s="23"/>
      <c r="G447" s="25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5"/>
      <c r="F448" s="23"/>
      <c r="G448" s="25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5"/>
      <c r="F449" s="23"/>
      <c r="G449" s="25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5"/>
      <c r="F450" s="23"/>
      <c r="G450" s="25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5"/>
      <c r="F451" s="23"/>
      <c r="G451" s="25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5"/>
      <c r="F452" s="23"/>
      <c r="G452" s="25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5"/>
      <c r="F453" s="23"/>
      <c r="G453" s="25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5"/>
      <c r="F454" s="23"/>
      <c r="G454" s="25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5"/>
      <c r="F455" s="23"/>
      <c r="G455" s="25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5"/>
      <c r="F456" s="23"/>
      <c r="G456" s="25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5"/>
      <c r="F457" s="23"/>
      <c r="G457" s="25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5"/>
      <c r="F458" s="23"/>
      <c r="G458" s="25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5"/>
      <c r="F459" s="23"/>
      <c r="G459" s="25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5"/>
      <c r="F460" s="23"/>
      <c r="G460" s="25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5"/>
      <c r="F461" s="23"/>
      <c r="G461" s="25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5"/>
      <c r="F462" s="23"/>
      <c r="G462" s="25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5"/>
      <c r="F463" s="23"/>
      <c r="G463" s="25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5"/>
      <c r="F464" s="23"/>
      <c r="G464" s="25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5"/>
      <c r="F465" s="23"/>
      <c r="G465" s="25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5"/>
      <c r="F466" s="23"/>
      <c r="G466" s="25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5"/>
      <c r="F467" s="23"/>
      <c r="G467" s="25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5"/>
      <c r="F468" s="23"/>
      <c r="G468" s="25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5"/>
      <c r="F469" s="23"/>
      <c r="G469" s="25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5"/>
      <c r="F470" s="23"/>
      <c r="G470" s="25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5"/>
      <c r="F471" s="23"/>
      <c r="G471" s="25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5"/>
      <c r="F472" s="23"/>
      <c r="G472" s="25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5"/>
      <c r="F473" s="23"/>
      <c r="G473" s="25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5"/>
      <c r="F474" s="23"/>
      <c r="G474" s="25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5"/>
      <c r="F475" s="23"/>
      <c r="G475" s="25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5"/>
      <c r="F476" s="23"/>
      <c r="G476" s="25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5"/>
      <c r="F477" s="23"/>
      <c r="G477" s="25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5"/>
      <c r="F478" s="23"/>
      <c r="G478" s="25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5"/>
      <c r="F479" s="23"/>
      <c r="G479" s="25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5"/>
      <c r="F480" s="23"/>
      <c r="G480" s="25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5"/>
      <c r="F481" s="23"/>
      <c r="G481" s="25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5"/>
      <c r="F482" s="23"/>
      <c r="G482" s="25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5"/>
      <c r="F483" s="23"/>
      <c r="G483" s="25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5"/>
      <c r="F484" s="23"/>
      <c r="G484" s="25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5"/>
      <c r="F485" s="23"/>
      <c r="G485" s="25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5"/>
      <c r="F486" s="23"/>
      <c r="G486" s="25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5"/>
      <c r="F487" s="23"/>
      <c r="G487" s="25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5"/>
      <c r="F488" s="23"/>
      <c r="G488" s="25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5"/>
      <c r="F489" s="23"/>
      <c r="G489" s="25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5"/>
      <c r="F490" s="23"/>
      <c r="G490" s="25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5"/>
      <c r="F491" s="23"/>
      <c r="G491" s="25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5"/>
      <c r="F492" s="23"/>
      <c r="G492" s="25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5"/>
      <c r="F493" s="23"/>
      <c r="G493" s="25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5"/>
      <c r="F494" s="23"/>
      <c r="G494" s="25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5"/>
      <c r="F495" s="23"/>
      <c r="G495" s="25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5"/>
      <c r="F496" s="23"/>
      <c r="G496" s="25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5"/>
      <c r="F497" s="23"/>
      <c r="G497" s="25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5"/>
      <c r="F498" s="23"/>
      <c r="G498" s="25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5"/>
      <c r="F499" s="23"/>
      <c r="G499" s="25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5"/>
      <c r="F500" s="23"/>
      <c r="G500" s="25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5"/>
      <c r="F501" s="23"/>
      <c r="G501" s="25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5"/>
      <c r="F502" s="23"/>
      <c r="G502" s="25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5"/>
      <c r="F503" s="23"/>
      <c r="G503" s="25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5"/>
      <c r="F504" s="23"/>
      <c r="G504" s="25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5"/>
      <c r="F505" s="23"/>
      <c r="G505" s="25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5"/>
      <c r="F506" s="23"/>
      <c r="G506" s="25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5"/>
      <c r="F507" s="23"/>
      <c r="G507" s="25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5"/>
      <c r="F508" s="23"/>
      <c r="G508" s="25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5"/>
      <c r="F509" s="23"/>
      <c r="G509" s="25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5"/>
      <c r="F510" s="23"/>
      <c r="G510" s="25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5"/>
      <c r="F511" s="23"/>
      <c r="G511" s="25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5"/>
      <c r="F512" s="23"/>
      <c r="G512" s="25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5"/>
      <c r="F513" s="23"/>
      <c r="G513" s="25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5"/>
      <c r="F514" s="23"/>
      <c r="G514" s="25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5"/>
      <c r="F515" s="23"/>
      <c r="G515" s="25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5"/>
      <c r="F516" s="23"/>
      <c r="G516" s="25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5"/>
      <c r="F517" s="23"/>
      <c r="G517" s="25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5"/>
      <c r="F518" s="23"/>
      <c r="G518" s="25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5"/>
      <c r="F519" s="23"/>
      <c r="G519" s="25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5"/>
      <c r="F520" s="23"/>
      <c r="G520" s="25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5"/>
      <c r="F521" s="23"/>
      <c r="G521" s="25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5"/>
      <c r="F522" s="23"/>
      <c r="G522" s="25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5"/>
      <c r="F523" s="23"/>
      <c r="G523" s="25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5"/>
      <c r="F524" s="23"/>
      <c r="G524" s="25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5"/>
      <c r="F525" s="23"/>
      <c r="G525" s="25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5"/>
      <c r="F526" s="23"/>
      <c r="G526" s="25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5"/>
      <c r="F527" s="23"/>
      <c r="G527" s="25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5"/>
      <c r="F528" s="23"/>
      <c r="G528" s="25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5"/>
      <c r="F529" s="23"/>
      <c r="G529" s="25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5"/>
      <c r="F530" s="23"/>
      <c r="G530" s="25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5"/>
      <c r="F531" s="23"/>
      <c r="G531" s="25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5"/>
      <c r="F532" s="23"/>
      <c r="G532" s="25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5"/>
      <c r="F533" s="23"/>
      <c r="G533" s="25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5"/>
      <c r="F534" s="23"/>
      <c r="G534" s="25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5"/>
      <c r="F535" s="23"/>
      <c r="G535" s="25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5"/>
      <c r="F536" s="23"/>
      <c r="G536" s="25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5"/>
      <c r="F537" s="23"/>
      <c r="G537" s="25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5"/>
      <c r="F538" s="23"/>
      <c r="G538" s="25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5"/>
      <c r="F539" s="23"/>
      <c r="G539" s="25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5"/>
      <c r="F540" s="23"/>
      <c r="G540" s="25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5"/>
      <c r="F541" s="23"/>
      <c r="G541" s="25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5"/>
      <c r="F542" s="23"/>
      <c r="G542" s="25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5"/>
      <c r="F543" s="23"/>
      <c r="G543" s="25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5"/>
      <c r="F544" s="23"/>
      <c r="G544" s="25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5"/>
      <c r="F545" s="23"/>
      <c r="G545" s="25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5"/>
      <c r="F546" s="23"/>
      <c r="G546" s="25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5"/>
      <c r="F547" s="23"/>
      <c r="G547" s="25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5"/>
      <c r="F548" s="23"/>
      <c r="G548" s="25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5"/>
      <c r="F549" s="23"/>
      <c r="G549" s="25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5"/>
      <c r="F550" s="23"/>
      <c r="G550" s="25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5"/>
      <c r="F551" s="23"/>
      <c r="G551" s="25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5"/>
      <c r="F552" s="23"/>
      <c r="G552" s="25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5"/>
      <c r="F553" s="23"/>
      <c r="G553" s="25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5"/>
      <c r="F554" s="23"/>
      <c r="G554" s="25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5"/>
      <c r="F555" s="23"/>
      <c r="G555" s="25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5"/>
      <c r="F556" s="23"/>
      <c r="G556" s="25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5"/>
      <c r="F557" s="23"/>
      <c r="G557" s="25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5"/>
      <c r="F558" s="23"/>
      <c r="G558" s="25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5"/>
      <c r="F559" s="23"/>
      <c r="G559" s="25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5"/>
      <c r="F560" s="23"/>
      <c r="G560" s="25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5"/>
      <c r="F561" s="23"/>
      <c r="G561" s="25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5"/>
      <c r="F562" s="23"/>
      <c r="G562" s="25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5"/>
      <c r="F563" s="23"/>
      <c r="G563" s="25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5"/>
      <c r="F564" s="23"/>
      <c r="G564" s="25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5"/>
      <c r="F565" s="23"/>
      <c r="G565" s="25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5"/>
      <c r="F566" s="23"/>
      <c r="G566" s="25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5"/>
      <c r="F567" s="23"/>
      <c r="G567" s="25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5"/>
      <c r="F568" s="23"/>
      <c r="G568" s="25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5"/>
      <c r="F569" s="23"/>
      <c r="G569" s="25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5"/>
      <c r="F570" s="23"/>
      <c r="G570" s="25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5"/>
      <c r="F571" s="23"/>
      <c r="G571" s="25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5"/>
      <c r="F572" s="23"/>
      <c r="G572" s="25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5"/>
      <c r="F573" s="23"/>
      <c r="G573" s="25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5"/>
      <c r="F574" s="23"/>
      <c r="G574" s="25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5"/>
      <c r="F575" s="23"/>
      <c r="G575" s="25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5"/>
      <c r="F576" s="23"/>
      <c r="G576" s="25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5"/>
      <c r="F577" s="23"/>
      <c r="G577" s="25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5"/>
      <c r="F578" s="23"/>
      <c r="G578" s="25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5"/>
      <c r="F579" s="23"/>
      <c r="G579" s="25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5"/>
      <c r="F580" s="23"/>
      <c r="G580" s="25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5"/>
      <c r="F581" s="23"/>
      <c r="G581" s="25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5"/>
      <c r="F582" s="23"/>
      <c r="G582" s="25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5"/>
      <c r="F583" s="23"/>
      <c r="G583" s="25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5"/>
      <c r="F584" s="23"/>
      <c r="G584" s="25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5"/>
      <c r="F585" s="23"/>
      <c r="G585" s="25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5"/>
      <c r="F586" s="23"/>
      <c r="G586" s="25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5"/>
      <c r="F587" s="23"/>
      <c r="G587" s="25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5"/>
      <c r="F588" s="23"/>
      <c r="G588" s="25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5"/>
      <c r="F589" s="23"/>
      <c r="G589" s="25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5"/>
      <c r="F590" s="23"/>
      <c r="G590" s="25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5"/>
      <c r="F591" s="23"/>
      <c r="G591" s="25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5"/>
      <c r="F592" s="23"/>
      <c r="G592" s="25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5"/>
      <c r="F593" s="23"/>
      <c r="G593" s="25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5"/>
      <c r="F594" s="23"/>
      <c r="G594" s="25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5"/>
      <c r="F595" s="23"/>
      <c r="G595" s="25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5"/>
      <c r="F596" s="23"/>
      <c r="G596" s="25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5"/>
      <c r="F597" s="23"/>
      <c r="G597" s="25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5"/>
      <c r="F598" s="23"/>
      <c r="G598" s="25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5"/>
      <c r="F599" s="23"/>
      <c r="G599" s="25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5"/>
      <c r="F600" s="23"/>
      <c r="G600" s="25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5"/>
      <c r="F601" s="23"/>
      <c r="G601" s="25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5"/>
      <c r="F602" s="23"/>
      <c r="G602" s="25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5"/>
      <c r="F603" s="23"/>
      <c r="G603" s="25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5"/>
      <c r="F604" s="23"/>
      <c r="G604" s="25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5"/>
      <c r="F605" s="23"/>
      <c r="G605" s="25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5"/>
      <c r="F606" s="23"/>
      <c r="G606" s="25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5"/>
      <c r="F607" s="23"/>
      <c r="G607" s="25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5"/>
      <c r="F608" s="23"/>
      <c r="G608" s="25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5"/>
      <c r="F609" s="23"/>
      <c r="G609" s="25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5"/>
      <c r="F610" s="23"/>
      <c r="G610" s="25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5"/>
      <c r="F611" s="23"/>
      <c r="G611" s="25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5"/>
      <c r="F612" s="23"/>
      <c r="G612" s="25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5"/>
      <c r="F613" s="23"/>
      <c r="G613" s="25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5"/>
      <c r="F614" s="23"/>
      <c r="G614" s="25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5"/>
      <c r="F615" s="23"/>
      <c r="G615" s="25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5"/>
      <c r="F616" s="23"/>
      <c r="G616" s="25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5"/>
      <c r="F617" s="23"/>
      <c r="G617" s="25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5"/>
      <c r="F618" s="23"/>
      <c r="G618" s="25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5"/>
      <c r="F619" s="23"/>
      <c r="G619" s="25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5"/>
      <c r="F620" s="23"/>
      <c r="G620" s="25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5"/>
      <c r="F621" s="23"/>
      <c r="G621" s="25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5"/>
      <c r="F622" s="23"/>
      <c r="G622" s="25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5"/>
      <c r="F623" s="23"/>
      <c r="G623" s="25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5"/>
      <c r="F624" s="23"/>
      <c r="G624" s="25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5"/>
      <c r="F625" s="23"/>
      <c r="G625" s="25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5"/>
      <c r="F626" s="23"/>
      <c r="G626" s="25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5"/>
      <c r="F627" s="23"/>
      <c r="G627" s="25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5"/>
      <c r="F628" s="23"/>
      <c r="G628" s="25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5"/>
      <c r="F629" s="23"/>
      <c r="G629" s="25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5"/>
      <c r="F630" s="23"/>
      <c r="G630" s="25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5"/>
      <c r="F631" s="23"/>
      <c r="G631" s="25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5"/>
      <c r="F632" s="23"/>
      <c r="G632" s="25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5"/>
      <c r="F633" s="23"/>
      <c r="G633" s="25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5"/>
      <c r="F634" s="23"/>
      <c r="G634" s="25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5"/>
      <c r="F635" s="23"/>
      <c r="G635" s="25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5"/>
      <c r="F636" s="23"/>
      <c r="G636" s="25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5"/>
      <c r="F637" s="23"/>
      <c r="G637" s="25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5"/>
      <c r="F638" s="23"/>
      <c r="G638" s="25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5"/>
      <c r="F639" s="23"/>
      <c r="G639" s="25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5"/>
      <c r="F640" s="23"/>
      <c r="G640" s="25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5"/>
      <c r="F641" s="23"/>
      <c r="G641" s="25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5"/>
      <c r="F642" s="23"/>
      <c r="G642" s="25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5"/>
      <c r="F643" s="23"/>
      <c r="G643" s="25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5"/>
      <c r="F644" s="23"/>
      <c r="G644" s="25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5"/>
      <c r="F645" s="23"/>
      <c r="G645" s="25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5"/>
      <c r="F646" s="23"/>
      <c r="G646" s="25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5"/>
      <c r="F647" s="23"/>
      <c r="G647" s="25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5"/>
      <c r="F648" s="23"/>
      <c r="G648" s="25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5"/>
      <c r="F649" s="23"/>
      <c r="G649" s="25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5"/>
      <c r="F650" s="23"/>
      <c r="G650" s="25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5"/>
      <c r="F651" s="23"/>
      <c r="G651" s="25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5"/>
      <c r="F652" s="23"/>
      <c r="G652" s="25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5"/>
      <c r="F653" s="23"/>
      <c r="G653" s="25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5"/>
      <c r="F654" s="23"/>
      <c r="G654" s="25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5"/>
      <c r="F655" s="23"/>
      <c r="G655" s="25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5"/>
      <c r="F656" s="23"/>
      <c r="G656" s="25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5"/>
      <c r="F657" s="23"/>
      <c r="G657" s="25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5"/>
      <c r="F658" s="23"/>
      <c r="G658" s="25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5"/>
      <c r="F659" s="23"/>
      <c r="G659" s="25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5"/>
      <c r="F660" s="23"/>
      <c r="G660" s="25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5"/>
      <c r="F661" s="23"/>
      <c r="G661" s="25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5"/>
      <c r="F662" s="23"/>
      <c r="G662" s="25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5"/>
      <c r="F663" s="23"/>
      <c r="G663" s="25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5"/>
      <c r="F664" s="23"/>
      <c r="G664" s="25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5"/>
      <c r="F665" s="23"/>
      <c r="G665" s="25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5"/>
      <c r="F666" s="23"/>
      <c r="G666" s="25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5"/>
      <c r="F667" s="23"/>
      <c r="G667" s="25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5"/>
      <c r="F668" s="23"/>
      <c r="G668" s="25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5"/>
      <c r="F669" s="23"/>
      <c r="G669" s="25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5"/>
      <c r="F670" s="23"/>
      <c r="G670" s="25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5"/>
      <c r="F671" s="23"/>
      <c r="G671" s="25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5"/>
      <c r="F672" s="23"/>
      <c r="G672" s="25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5"/>
      <c r="F673" s="23"/>
      <c r="G673" s="25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5"/>
      <c r="F674" s="23"/>
      <c r="G674" s="25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5"/>
      <c r="F675" s="23"/>
      <c r="G675" s="25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5"/>
      <c r="F676" s="23"/>
      <c r="G676" s="25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5"/>
      <c r="F677" s="23"/>
      <c r="G677" s="25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5"/>
      <c r="F678" s="23"/>
      <c r="G678" s="25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5"/>
      <c r="F679" s="23"/>
      <c r="G679" s="25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5"/>
      <c r="F680" s="23"/>
      <c r="G680" s="25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5"/>
      <c r="F681" s="23"/>
      <c r="G681" s="25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5"/>
      <c r="F682" s="23"/>
      <c r="G682" s="25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5"/>
      <c r="F683" s="23"/>
      <c r="G683" s="25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5"/>
      <c r="F684" s="23"/>
      <c r="G684" s="25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5"/>
      <c r="F685" s="23"/>
      <c r="G685" s="25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5"/>
      <c r="F686" s="23"/>
      <c r="G686" s="25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5"/>
      <c r="F687" s="23"/>
      <c r="G687" s="25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5"/>
      <c r="F688" s="23"/>
      <c r="G688" s="25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5"/>
      <c r="F689" s="23"/>
      <c r="G689" s="25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5"/>
      <c r="F690" s="23"/>
      <c r="G690" s="25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5"/>
      <c r="F691" s="23"/>
      <c r="G691" s="25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5"/>
      <c r="F692" s="23"/>
      <c r="G692" s="25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5"/>
      <c r="F693" s="23"/>
      <c r="G693" s="25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5"/>
      <c r="F694" s="23"/>
      <c r="G694" s="25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5"/>
      <c r="F695" s="23"/>
      <c r="G695" s="25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5"/>
      <c r="F696" s="23"/>
      <c r="G696" s="25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5"/>
      <c r="F697" s="23"/>
      <c r="G697" s="25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5"/>
      <c r="F698" s="23"/>
      <c r="G698" s="25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5"/>
      <c r="F699" s="23"/>
      <c r="G699" s="25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5"/>
      <c r="F700" s="23"/>
      <c r="G700" s="25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5"/>
      <c r="F701" s="23"/>
      <c r="G701" s="25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5"/>
      <c r="F702" s="23"/>
      <c r="G702" s="25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5"/>
      <c r="F703" s="23"/>
      <c r="G703" s="25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5"/>
      <c r="F704" s="23"/>
      <c r="G704" s="25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5"/>
      <c r="F705" s="23"/>
      <c r="G705" s="25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5"/>
      <c r="F706" s="23"/>
      <c r="G706" s="25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5"/>
      <c r="F707" s="23"/>
      <c r="G707" s="25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5"/>
      <c r="F708" s="23"/>
      <c r="G708" s="25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5"/>
      <c r="F709" s="23"/>
      <c r="G709" s="25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5"/>
      <c r="F710" s="23"/>
      <c r="G710" s="25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5"/>
      <c r="F711" s="23"/>
      <c r="G711" s="25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5"/>
      <c r="F712" s="23"/>
      <c r="G712" s="25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5"/>
      <c r="F713" s="23"/>
      <c r="G713" s="25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5"/>
      <c r="F714" s="23"/>
      <c r="G714" s="25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5"/>
      <c r="F715" s="23"/>
      <c r="G715" s="25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5"/>
      <c r="F716" s="23"/>
      <c r="G716" s="25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5"/>
      <c r="F717" s="23"/>
      <c r="G717" s="25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5"/>
      <c r="F718" s="23"/>
      <c r="G718" s="25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5"/>
      <c r="F719" s="23"/>
      <c r="G719" s="25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5"/>
      <c r="F720" s="23"/>
      <c r="G720" s="25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5"/>
      <c r="F721" s="23"/>
      <c r="G721" s="25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5"/>
      <c r="F722" s="23"/>
      <c r="G722" s="25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5"/>
      <c r="F723" s="23"/>
      <c r="G723" s="25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5"/>
      <c r="F724" s="23"/>
      <c r="G724" s="25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5"/>
      <c r="F725" s="23"/>
      <c r="G725" s="25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5"/>
      <c r="F726" s="23"/>
      <c r="G726" s="25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5"/>
      <c r="F727" s="23"/>
      <c r="G727" s="25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5"/>
      <c r="F728" s="23"/>
      <c r="G728" s="25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5"/>
      <c r="F729" s="23"/>
      <c r="G729" s="25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5"/>
      <c r="F730" s="23"/>
      <c r="G730" s="25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5"/>
      <c r="F731" s="23"/>
      <c r="G731" s="25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5"/>
      <c r="F732" s="23"/>
      <c r="G732" s="25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5"/>
      <c r="F733" s="23"/>
      <c r="G733" s="25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5"/>
      <c r="F734" s="23"/>
      <c r="G734" s="25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5"/>
      <c r="F735" s="23"/>
      <c r="G735" s="25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5"/>
      <c r="F736" s="23"/>
      <c r="G736" s="25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5"/>
      <c r="F737" s="23"/>
      <c r="G737" s="25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5"/>
      <c r="F738" s="23"/>
      <c r="G738" s="25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5"/>
      <c r="F739" s="23"/>
      <c r="G739" s="25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5"/>
      <c r="F740" s="23"/>
      <c r="G740" s="25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5"/>
      <c r="F741" s="23"/>
      <c r="G741" s="25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5"/>
      <c r="F742" s="23"/>
      <c r="G742" s="25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5"/>
      <c r="F743" s="23"/>
      <c r="G743" s="25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5"/>
      <c r="F744" s="23"/>
      <c r="G744" s="25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5"/>
      <c r="F745" s="23"/>
      <c r="G745" s="25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5"/>
      <c r="F746" s="23"/>
      <c r="G746" s="25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5"/>
      <c r="F747" s="23"/>
      <c r="G747" s="25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5"/>
      <c r="F748" s="23"/>
      <c r="G748" s="25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5"/>
      <c r="F749" s="23"/>
      <c r="G749" s="25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5"/>
      <c r="F750" s="23"/>
      <c r="G750" s="25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5"/>
      <c r="F751" s="23"/>
      <c r="G751" s="25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5"/>
      <c r="F752" s="23"/>
      <c r="G752" s="25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5"/>
      <c r="F753" s="23"/>
      <c r="G753" s="25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5"/>
      <c r="F754" s="23"/>
      <c r="G754" s="25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5"/>
      <c r="F755" s="23"/>
      <c r="G755" s="25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5"/>
      <c r="F756" s="23"/>
      <c r="G756" s="25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5"/>
      <c r="F757" s="23"/>
      <c r="G757" s="25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5"/>
      <c r="F758" s="23"/>
      <c r="G758" s="25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5"/>
      <c r="F759" s="23"/>
      <c r="G759" s="25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5"/>
      <c r="F760" s="23"/>
      <c r="G760" s="25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5"/>
      <c r="F761" s="23"/>
      <c r="G761" s="25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5"/>
      <c r="F762" s="23"/>
      <c r="G762" s="25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5"/>
      <c r="F763" s="23"/>
      <c r="G763" s="25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5"/>
      <c r="F764" s="23"/>
      <c r="G764" s="25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5"/>
      <c r="F765" s="23"/>
      <c r="G765" s="25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5"/>
      <c r="F766" s="23"/>
      <c r="G766" s="25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5"/>
      <c r="F767" s="23"/>
      <c r="G767" s="25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5"/>
      <c r="F768" s="23"/>
      <c r="G768" s="25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5"/>
      <c r="F769" s="23"/>
      <c r="G769" s="25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5"/>
      <c r="F770" s="23"/>
      <c r="G770" s="25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5"/>
      <c r="F771" s="23"/>
      <c r="G771" s="25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5"/>
      <c r="F772" s="23"/>
      <c r="G772" s="25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5"/>
      <c r="F773" s="23"/>
      <c r="G773" s="25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5"/>
      <c r="F774" s="23"/>
      <c r="G774" s="25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5"/>
      <c r="F775" s="23"/>
      <c r="G775" s="25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5"/>
      <c r="F776" s="23"/>
      <c r="G776" s="25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5"/>
      <c r="F777" s="23"/>
      <c r="G777" s="25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5"/>
      <c r="F778" s="23"/>
      <c r="G778" s="25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5"/>
      <c r="F779" s="23"/>
      <c r="G779" s="25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5"/>
      <c r="F780" s="23"/>
      <c r="G780" s="25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5"/>
      <c r="F781" s="23"/>
      <c r="G781" s="25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5"/>
      <c r="F782" s="23"/>
      <c r="G782" s="25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5"/>
      <c r="F783" s="23"/>
      <c r="G783" s="25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5"/>
      <c r="F784" s="23"/>
      <c r="G784" s="25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5"/>
      <c r="F785" s="23"/>
      <c r="G785" s="25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5"/>
      <c r="F786" s="23"/>
      <c r="G786" s="25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5"/>
      <c r="F787" s="23"/>
      <c r="G787" s="25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5"/>
      <c r="F788" s="23"/>
      <c r="G788" s="25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5"/>
      <c r="F789" s="23"/>
      <c r="G789" s="25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5"/>
      <c r="F790" s="23"/>
      <c r="G790" s="25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5"/>
      <c r="F791" s="23"/>
      <c r="G791" s="25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5"/>
      <c r="F792" s="23"/>
      <c r="G792" s="25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5"/>
      <c r="F793" s="23"/>
      <c r="G793" s="25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5"/>
      <c r="F794" s="23"/>
      <c r="G794" s="25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5"/>
      <c r="F795" s="23"/>
      <c r="G795" s="25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5"/>
      <c r="F796" s="23"/>
      <c r="G796" s="25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5"/>
      <c r="F797" s="23"/>
      <c r="G797" s="25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5"/>
      <c r="F798" s="23"/>
      <c r="G798" s="25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5"/>
      <c r="F799" s="23"/>
      <c r="G799" s="25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5"/>
      <c r="F800" s="23"/>
      <c r="G800" s="25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5"/>
      <c r="F801" s="23"/>
      <c r="G801" s="25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5"/>
      <c r="F802" s="23"/>
      <c r="G802" s="25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5"/>
      <c r="F803" s="23"/>
      <c r="G803" s="25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5"/>
      <c r="F804" s="23"/>
      <c r="G804" s="25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5"/>
      <c r="F805" s="23"/>
      <c r="G805" s="25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5"/>
      <c r="F806" s="23"/>
      <c r="G806" s="25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5"/>
      <c r="F807" s="23"/>
      <c r="G807" s="25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5"/>
      <c r="F808" s="23"/>
      <c r="G808" s="25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5"/>
      <c r="F809" s="23"/>
      <c r="G809" s="25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5"/>
      <c r="F810" s="23"/>
      <c r="G810" s="25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5"/>
      <c r="F811" s="23"/>
      <c r="G811" s="25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5"/>
      <c r="F812" s="23"/>
      <c r="G812" s="25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5"/>
      <c r="F813" s="23"/>
      <c r="G813" s="25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5"/>
      <c r="F814" s="23"/>
      <c r="G814" s="25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5"/>
      <c r="F815" s="23"/>
      <c r="G815" s="25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5"/>
      <c r="F816" s="23"/>
      <c r="G816" s="25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5"/>
      <c r="F817" s="23"/>
      <c r="G817" s="25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5"/>
      <c r="F818" s="23"/>
      <c r="G818" s="25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5"/>
      <c r="F819" s="23"/>
      <c r="G819" s="25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5"/>
      <c r="F820" s="23"/>
      <c r="G820" s="25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5"/>
      <c r="F821" s="23"/>
      <c r="G821" s="25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5"/>
      <c r="F822" s="23"/>
      <c r="G822" s="25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5"/>
      <c r="F823" s="23"/>
      <c r="G823" s="25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5"/>
      <c r="F824" s="23"/>
      <c r="G824" s="25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5"/>
      <c r="F825" s="23"/>
      <c r="G825" s="25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5"/>
      <c r="F826" s="23"/>
      <c r="G826" s="25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5"/>
      <c r="F827" s="23"/>
      <c r="G827" s="25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5"/>
      <c r="F828" s="23"/>
      <c r="G828" s="25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5"/>
      <c r="F829" s="23"/>
      <c r="G829" s="25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5"/>
      <c r="F830" s="23"/>
      <c r="G830" s="25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5"/>
      <c r="F831" s="23"/>
      <c r="G831" s="25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5"/>
      <c r="F832" s="23"/>
      <c r="G832" s="25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5"/>
      <c r="F833" s="23"/>
      <c r="G833" s="25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5"/>
      <c r="F834" s="23"/>
      <c r="G834" s="25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5"/>
      <c r="F835" s="23"/>
      <c r="G835" s="25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5"/>
      <c r="F836" s="23"/>
      <c r="G836" s="25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5"/>
      <c r="F837" s="23"/>
      <c r="G837" s="25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5"/>
      <c r="F838" s="23"/>
      <c r="G838" s="25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5"/>
      <c r="F839" s="23"/>
      <c r="G839" s="25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5"/>
      <c r="F840" s="23"/>
      <c r="G840" s="25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5"/>
      <c r="F841" s="23"/>
      <c r="G841" s="25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5"/>
      <c r="F842" s="23"/>
      <c r="G842" s="25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5"/>
      <c r="F843" s="23"/>
      <c r="G843" s="25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5"/>
      <c r="F844" s="23"/>
      <c r="G844" s="25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5"/>
      <c r="F845" s="23"/>
      <c r="G845" s="25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5"/>
      <c r="F846" s="23"/>
      <c r="G846" s="25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5"/>
      <c r="F847" s="23"/>
      <c r="G847" s="25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5"/>
      <c r="F848" s="23"/>
      <c r="G848" s="25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5"/>
      <c r="F849" s="23"/>
      <c r="G849" s="25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5"/>
      <c r="F850" s="23"/>
      <c r="G850" s="25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5"/>
      <c r="F851" s="23"/>
      <c r="G851" s="25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5"/>
      <c r="F852" s="23"/>
      <c r="G852" s="25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5"/>
      <c r="F853" s="23"/>
      <c r="G853" s="25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5"/>
      <c r="F854" s="23"/>
      <c r="G854" s="25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5"/>
      <c r="F855" s="23"/>
      <c r="G855" s="25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5"/>
      <c r="F856" s="23"/>
      <c r="G856" s="25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5"/>
      <c r="F857" s="23"/>
      <c r="G857" s="25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5"/>
      <c r="F858" s="23"/>
      <c r="G858" s="25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5"/>
      <c r="F859" s="23"/>
      <c r="G859" s="25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5"/>
      <c r="F860" s="23"/>
      <c r="G860" s="25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5"/>
      <c r="F861" s="23"/>
      <c r="G861" s="25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5"/>
      <c r="F862" s="23"/>
      <c r="G862" s="25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5"/>
      <c r="F863" s="23"/>
      <c r="G863" s="25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5"/>
      <c r="F864" s="23"/>
      <c r="G864" s="25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5"/>
      <c r="F865" s="23"/>
      <c r="G865" s="25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5"/>
      <c r="F866" s="23"/>
      <c r="G866" s="25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5"/>
      <c r="F867" s="23"/>
      <c r="G867" s="25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5"/>
      <c r="F868" s="23"/>
      <c r="G868" s="25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5"/>
      <c r="F869" s="23"/>
      <c r="G869" s="25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5"/>
      <c r="F870" s="23"/>
      <c r="G870" s="25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5"/>
      <c r="F871" s="23"/>
      <c r="G871" s="25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5"/>
      <c r="F872" s="23"/>
      <c r="G872" s="25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5"/>
      <c r="F873" s="23"/>
      <c r="G873" s="25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5"/>
      <c r="F874" s="23"/>
      <c r="G874" s="25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5"/>
      <c r="F875" s="23"/>
      <c r="G875" s="25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5"/>
      <c r="F876" s="23"/>
      <c r="G876" s="25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5"/>
      <c r="F877" s="23"/>
      <c r="G877" s="25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5"/>
      <c r="F878" s="23"/>
      <c r="G878" s="25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5"/>
      <c r="F879" s="23"/>
      <c r="G879" s="25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5"/>
      <c r="F880" s="23"/>
      <c r="G880" s="25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5"/>
      <c r="F881" s="23"/>
      <c r="G881" s="25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5"/>
      <c r="F882" s="23"/>
      <c r="G882" s="25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5"/>
      <c r="F883" s="23"/>
      <c r="G883" s="25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5"/>
      <c r="F884" s="23"/>
      <c r="G884" s="25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5"/>
      <c r="F885" s="23"/>
      <c r="G885" s="25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5"/>
      <c r="F886" s="23"/>
      <c r="G886" s="25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5"/>
      <c r="F887" s="23"/>
      <c r="G887" s="25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5"/>
      <c r="F888" s="23"/>
      <c r="G888" s="25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5"/>
      <c r="F889" s="23"/>
      <c r="G889" s="25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5"/>
      <c r="F890" s="23"/>
      <c r="G890" s="25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5"/>
      <c r="F891" s="23"/>
      <c r="G891" s="25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5"/>
      <c r="F892" s="23"/>
      <c r="G892" s="25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5"/>
      <c r="F893" s="23"/>
      <c r="G893" s="25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5"/>
      <c r="F894" s="23"/>
      <c r="G894" s="25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5"/>
      <c r="F895" s="23"/>
      <c r="G895" s="25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5"/>
      <c r="F896" s="23"/>
      <c r="G896" s="25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5"/>
      <c r="F897" s="23"/>
      <c r="G897" s="25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5"/>
      <c r="F898" s="23"/>
      <c r="G898" s="25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5"/>
      <c r="F899" s="23"/>
      <c r="G899" s="25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5"/>
      <c r="F900" s="23"/>
      <c r="G900" s="25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5"/>
      <c r="F901" s="23"/>
      <c r="G901" s="25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5"/>
      <c r="F902" s="23"/>
      <c r="G902" s="25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5"/>
      <c r="F903" s="23"/>
      <c r="G903" s="25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5"/>
      <c r="F904" s="23"/>
      <c r="G904" s="25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5"/>
      <c r="F905" s="23"/>
      <c r="G905" s="25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5"/>
      <c r="F906" s="23"/>
      <c r="G906" s="25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5"/>
      <c r="F907" s="23"/>
      <c r="G907" s="25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5"/>
      <c r="F908" s="23"/>
      <c r="G908" s="25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5"/>
      <c r="F909" s="23"/>
      <c r="G909" s="25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5"/>
      <c r="F910" s="23"/>
      <c r="G910" s="25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5"/>
      <c r="F911" s="23"/>
      <c r="G911" s="25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5"/>
      <c r="F912" s="23"/>
      <c r="G912" s="25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5"/>
      <c r="F913" s="23"/>
      <c r="G913" s="25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5"/>
      <c r="F914" s="23"/>
      <c r="G914" s="25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5"/>
      <c r="F915" s="23"/>
      <c r="G915" s="25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5"/>
      <c r="F916" s="23"/>
      <c r="G916" s="25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5"/>
      <c r="F917" s="23"/>
      <c r="G917" s="25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5"/>
      <c r="F918" s="23"/>
      <c r="G918" s="25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5"/>
      <c r="F919" s="23"/>
      <c r="G919" s="25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5"/>
      <c r="F920" s="23"/>
      <c r="G920" s="25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5"/>
      <c r="F921" s="23"/>
      <c r="G921" s="25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5"/>
      <c r="F922" s="23"/>
      <c r="G922" s="25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5"/>
      <c r="F923" s="23"/>
      <c r="G923" s="25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5"/>
      <c r="F924" s="23"/>
      <c r="G924" s="25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5"/>
      <c r="F925" s="23"/>
      <c r="G925" s="25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5"/>
      <c r="F926" s="23"/>
      <c r="G926" s="25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5"/>
      <c r="F927" s="23"/>
      <c r="G927" s="25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5"/>
      <c r="F928" s="23"/>
      <c r="G928" s="25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5"/>
      <c r="F929" s="23"/>
      <c r="G929" s="25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5"/>
      <c r="F930" s="23"/>
      <c r="G930" s="25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5"/>
      <c r="F931" s="23"/>
      <c r="G931" s="25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5"/>
      <c r="F932" s="23"/>
      <c r="G932" s="25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5"/>
      <c r="F933" s="23"/>
      <c r="G933" s="25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5"/>
      <c r="F934" s="23"/>
      <c r="G934" s="25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5"/>
      <c r="F935" s="23"/>
      <c r="G935" s="25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5"/>
      <c r="F936" s="23"/>
      <c r="G936" s="25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5"/>
      <c r="F937" s="23"/>
      <c r="G937" s="25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5"/>
      <c r="F938" s="23"/>
      <c r="G938" s="25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5"/>
      <c r="F939" s="23"/>
      <c r="G939" s="25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5"/>
      <c r="F940" s="23"/>
      <c r="G940" s="25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5"/>
      <c r="F941" s="23"/>
      <c r="G941" s="25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5"/>
      <c r="F942" s="23"/>
      <c r="G942" s="25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5"/>
      <c r="F943" s="23"/>
      <c r="G943" s="25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5"/>
      <c r="F944" s="23"/>
      <c r="G944" s="25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5"/>
      <c r="F945" s="23"/>
      <c r="G945" s="25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5"/>
      <c r="F946" s="23"/>
      <c r="G946" s="25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5"/>
      <c r="F947" s="23"/>
      <c r="G947" s="25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5"/>
      <c r="F948" s="23"/>
      <c r="G948" s="25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5"/>
      <c r="F949" s="23"/>
      <c r="G949" s="25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5"/>
      <c r="F950" s="23"/>
      <c r="G950" s="25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5"/>
      <c r="F951" s="23"/>
      <c r="G951" s="25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5"/>
      <c r="F952" s="23"/>
      <c r="G952" s="25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5"/>
      <c r="F953" s="23"/>
      <c r="G953" s="25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5"/>
      <c r="F954" s="23"/>
      <c r="G954" s="25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5"/>
      <c r="F955" s="23"/>
      <c r="G955" s="25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5"/>
      <c r="F956" s="23"/>
      <c r="G956" s="25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5"/>
      <c r="F957" s="23"/>
      <c r="G957" s="25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5"/>
      <c r="F958" s="23"/>
      <c r="G958" s="25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5"/>
      <c r="F959" s="23"/>
      <c r="G959" s="25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5"/>
      <c r="F960" s="23"/>
      <c r="G960" s="25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5"/>
      <c r="F961" s="23"/>
      <c r="G961" s="25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5"/>
      <c r="F962" s="23"/>
      <c r="G962" s="25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5"/>
      <c r="F963" s="23"/>
      <c r="G963" s="25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5"/>
      <c r="F964" s="23"/>
      <c r="G964" s="25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5"/>
      <c r="F965" s="23"/>
      <c r="G965" s="25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5"/>
      <c r="F966" s="23"/>
      <c r="G966" s="25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5"/>
      <c r="F967" s="23"/>
      <c r="G967" s="25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5"/>
      <c r="F968" s="23"/>
      <c r="G968" s="25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5"/>
      <c r="F969" s="23"/>
      <c r="G969" s="25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5"/>
      <c r="F970" s="23"/>
      <c r="G970" s="25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5"/>
      <c r="F971" s="23"/>
      <c r="G971" s="25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5"/>
      <c r="F972" s="23"/>
      <c r="G972" s="25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5"/>
      <c r="F973" s="23"/>
      <c r="G973" s="25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5"/>
      <c r="F974" s="23"/>
      <c r="G974" s="25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5"/>
      <c r="F975" s="23"/>
      <c r="G975" s="25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5"/>
      <c r="F976" s="23"/>
      <c r="G976" s="25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5"/>
      <c r="F977" s="23"/>
      <c r="G977" s="25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5"/>
      <c r="F978" s="23"/>
      <c r="G978" s="25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5"/>
      <c r="F979" s="23"/>
      <c r="G979" s="25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5"/>
      <c r="F980" s="23"/>
      <c r="G980" s="25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5"/>
      <c r="F981" s="23"/>
      <c r="G981" s="25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5"/>
      <c r="F982" s="23"/>
      <c r="G982" s="25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5"/>
      <c r="F983" s="23"/>
      <c r="G983" s="25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5"/>
      <c r="F984" s="23"/>
      <c r="G984" s="25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5"/>
      <c r="F985" s="23"/>
      <c r="G985" s="25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5"/>
      <c r="F986" s="23"/>
      <c r="G986" s="25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5"/>
      <c r="F987" s="23"/>
      <c r="G987" s="25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5"/>
      <c r="F988" s="23"/>
      <c r="G988" s="25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5"/>
      <c r="F989" s="23"/>
      <c r="G989" s="25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5"/>
      <c r="F990" s="23"/>
      <c r="G990" s="25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5"/>
      <c r="F991" s="23"/>
      <c r="G991" s="25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5"/>
      <c r="F992" s="23"/>
      <c r="G992" s="25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5"/>
      <c r="F993" s="23"/>
      <c r="G993" s="25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5"/>
      <c r="F994" s="23"/>
      <c r="G994" s="25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5"/>
      <c r="F995" s="23"/>
      <c r="G995" s="25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5"/>
      <c r="F996" s="23"/>
      <c r="G996" s="25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5"/>
      <c r="F997" s="23"/>
      <c r="G997" s="25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5"/>
      <c r="F998" s="23"/>
      <c r="G998" s="25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5"/>
      <c r="F999" s="23"/>
      <c r="G999" s="25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5"/>
      <c r="F1000" s="23"/>
      <c r="G1000" s="25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conditionalFormatting sqref="C13">
    <cfRule type="containsText" dxfId="0" priority="1" operator="containsText" text="TRUE">
      <formula>NOT(ISERROR(SEARCH(("TRUE"),(C13))))</formula>
    </cfRule>
  </conditionalFormatting>
  <conditionalFormatting sqref="C13">
    <cfRule type="containsText" dxfId="1" priority="2" operator="containsText" text="FALSE">
      <formula>NOT(ISERROR(SEARCH(("FALSE"),(C13))))</formula>
    </cfRule>
  </conditionalFormatting>
  <drawing r:id="rId1"/>
</worksheet>
</file>